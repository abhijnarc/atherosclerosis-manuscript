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9b1604b126a15b5/Apps/"/>
    </mc:Choice>
  </mc:AlternateContent>
  <xr:revisionPtr revIDLastSave="16" documentId="8_{C88B4C6B-D590-4541-B900-A9140BF1B1A2}" xr6:coauthVersionLast="47" xr6:coauthVersionMax="47" xr10:uidLastSave="{FCC3B1CE-B992-44B3-BD38-8BA5104A4377}"/>
  <bookViews>
    <workbookView xWindow="-108" yWindow="-108" windowWidth="23256" windowHeight="12456" tabRatio="500" xr2:uid="{00000000-000D-0000-FFFF-FFFF00000000}"/>
  </bookViews>
  <sheets>
    <sheet name="Workplan Chart" sheetId="1" r:id="rId1"/>
    <sheet name="Task Tracker" sheetId="2" r:id="rId2"/>
    <sheet name="Key Deadlines" sheetId="3" r:id="rId3"/>
    <sheet name="Monthly Overview" sheetId="4" r:id="rId4"/>
    <sheet name="Weekly Check-in" sheetId="5" r:id="rId5"/>
    <sheet name="Read Me" sheetId="6" r:id="rId6"/>
  </sheets>
  <definedNames>
    <definedName name="_xlnm._FilterDatabase" localSheetId="1" hidden="1">'Task Tracker'!$A$1:$J$63</definedName>
    <definedName name="_xlnm._FilterDatabase" localSheetId="4" hidden="1">'Weekly Check-in'!$A$1:$G$15</definedName>
    <definedName name="_xlnm.Print_Titles" localSheetId="0">'Workplan Chart'!$1:$3</definedName>
  </definedNames>
  <calcPr calcId="191029" iterateDelta="1E-4"/>
</workbook>
</file>

<file path=xl/calcChain.xml><?xml version="1.0" encoding="utf-8"?>
<calcChain xmlns="http://schemas.openxmlformats.org/spreadsheetml/2006/main">
  <c r="E9" i="3" l="1"/>
  <c r="J33" i="2" s="1"/>
  <c r="E8" i="3"/>
  <c r="J28" i="2" s="1"/>
  <c r="D8" i="3"/>
  <c r="B5" i="3"/>
  <c r="D10" i="3" s="1"/>
  <c r="B4" i="3"/>
  <c r="D9" i="3" s="1"/>
  <c r="D22" i="3" l="1"/>
  <c r="E21" i="3"/>
  <c r="J37" i="2" s="1"/>
  <c r="D21" i="3"/>
  <c r="E20" i="3"/>
  <c r="E19" i="3"/>
  <c r="D19" i="3"/>
  <c r="D11" i="3"/>
  <c r="E22" i="3"/>
  <c r="J38" i="2" s="1"/>
  <c r="E10" i="3"/>
  <c r="J30" i="2"/>
  <c r="D13" i="3" l="1"/>
  <c r="D16" i="3"/>
  <c r="D12" i="3"/>
  <c r="D15" i="3"/>
  <c r="D14" i="3"/>
  <c r="E11" i="3"/>
  <c r="J35" i="2"/>
  <c r="E13" i="3" l="1"/>
  <c r="E16" i="3"/>
  <c r="E12" i="3"/>
  <c r="E15" i="3"/>
  <c r="J42" i="2" s="1"/>
  <c r="E14" i="3"/>
  <c r="J36" i="2"/>
  <c r="D17" i="3"/>
  <c r="D25" i="3"/>
  <c r="D27" i="3" l="1"/>
  <c r="D26" i="3"/>
  <c r="D18" i="3"/>
  <c r="E17" i="3"/>
  <c r="J55" i="2"/>
  <c r="J57" i="2" l="1"/>
  <c r="E25" i="3"/>
  <c r="J56" i="2" s="1"/>
  <c r="E18" i="3"/>
  <c r="E28" i="3" l="1"/>
  <c r="E27" i="3"/>
  <c r="J59" i="2" s="1"/>
  <c r="E26" i="3"/>
  <c r="J58" i="2" s="1"/>
  <c r="J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8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Optional small pilot; predicted structures are not proof of binding</t>
        </r>
      </text>
    </comment>
    <comment ref="A9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Reduce tissue scope if needed to protect manuscript quality</t>
        </r>
      </text>
    </comment>
    <comment ref="A11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Application cycle confirmed</t>
        </r>
      </text>
    </comment>
    <comment ref="A12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Planned 26 Feb 2027; update if institution confirms another date</t>
        </r>
      </text>
    </comment>
    <comment ref="A14" authorId="0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Two aims, Gantt chart, preliminary work, clinical relevance and translational outcome/IP</t>
        </r>
      </text>
    </comment>
    <comment ref="A15" authorId="0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Target submission by Aug 2027</t>
        </r>
      </text>
    </comment>
    <comment ref="A16" authorId="0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Coordinator ceiling: 6 months after admission presentation</t>
        </r>
      </text>
    </comment>
    <comment ref="A17" authorId="0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Within 7 days after every DAC presentation</t>
        </r>
      </text>
    </comment>
    <comment ref="A18" authorId="0" shapeId="0" xr:uid="{00000000-0006-0000-0000-000009000000}">
      <text>
        <r>
          <rPr>
            <sz val="11"/>
            <color theme="1"/>
            <rFont val="Calibri"/>
            <family val="2"/>
            <charset val="1"/>
          </rPr>
          <t>PPAC 4–6 weeks after proposal submission; within 2 months after MSMF presentation</t>
        </r>
      </text>
    </comment>
    <comment ref="A19" authorId="0" shapeId="0" xr:uid="{00000000-0006-0000-0000-00000A000000}">
      <text>
        <r>
          <rPr>
            <sz val="11"/>
            <color theme="1"/>
            <rFont val="Calibri"/>
            <family val="2"/>
            <charset val="1"/>
          </rPr>
          <t>Planned Sep 2027; within 2 weeks after PPAC</t>
        </r>
      </text>
    </comment>
    <comment ref="A21" authorId="0" shapeId="0" xr:uid="{00000000-0006-0000-0000-00000B000000}">
      <text>
        <r>
          <rPr>
            <sz val="11"/>
            <color theme="1"/>
            <rFont val="Calibri"/>
            <family val="2"/>
            <charset val="1"/>
          </rPr>
          <t>Within 6 months of registration; confirm conflicting guideline wording</t>
        </r>
      </text>
    </comment>
    <comment ref="A22" authorId="0" shapeId="0" xr:uid="{00000000-0006-0000-0000-00000C000000}">
      <text>
        <r>
          <rPr>
            <sz val="11"/>
            <color theme="1"/>
            <rFont val="Calibri"/>
            <family val="2"/>
            <charset val="1"/>
          </rPr>
          <t>Plan to 6 months after registration</t>
        </r>
      </text>
    </comment>
    <comment ref="A23" authorId="0" shapeId="0" xr:uid="{00000000-0006-0000-0000-00000D000000}">
      <text>
        <r>
          <rPr>
            <sz val="11"/>
            <color theme="1"/>
            <rFont val="Calibri"/>
            <family val="2"/>
            <charset val="1"/>
          </rPr>
          <t>Aim 2A</t>
        </r>
      </text>
    </comment>
    <comment ref="A24" authorId="0" shapeId="0" xr:uid="{00000000-0006-0000-0000-00000E000000}">
      <text>
        <r>
          <rPr>
            <sz val="11"/>
            <color theme="1"/>
            <rFont val="Calibri"/>
            <family val="2"/>
            <charset val="1"/>
          </rPr>
          <t>Aim 2B depends on access, ethics and resources</t>
        </r>
      </text>
    </comment>
    <comment ref="A25" authorId="0" shapeId="0" xr:uid="{00000000-0006-0000-0000-00000F000000}">
      <text>
        <r>
          <rPr>
            <sz val="11"/>
            <color theme="1"/>
            <rFont val="Calibri"/>
            <family val="2"/>
            <charset val="1"/>
          </rPr>
          <t>Only after ethics approval</t>
        </r>
      </text>
    </comment>
    <comment ref="A26" authorId="0" shapeId="0" xr:uid="{00000000-0006-0000-0000-000010000000}">
      <text>
        <r>
          <rPr>
            <sz val="11"/>
            <color theme="1"/>
            <rFont val="Calibri"/>
            <family val="2"/>
            <charset val="1"/>
          </rPr>
          <t>Review may count as one required paper if guideline conditions are met</t>
        </r>
      </text>
    </comment>
    <comment ref="A28" authorId="0" shapeId="0" xr:uid="{00000000-0006-0000-0000-000011000000}">
      <text>
        <r>
          <rPr>
            <sz val="11"/>
            <color theme="1"/>
            <rFont val="Calibri"/>
            <family val="2"/>
            <charset val="1"/>
          </rPr>
          <t>Aim 2B</t>
        </r>
      </text>
    </comment>
    <comment ref="A29" authorId="0" shapeId="0" xr:uid="{00000000-0006-0000-0000-000012000000}">
      <text>
        <r>
          <rPr>
            <sz val="11"/>
            <color theme="1"/>
            <rFont val="Calibri"/>
            <family val="2"/>
            <charset val="1"/>
          </rPr>
          <t>Cut first if schedule is tight</t>
        </r>
      </text>
    </comment>
    <comment ref="A30" authorId="0" shapeId="0" xr:uid="{00000000-0006-0000-0000-000013000000}">
      <text>
        <r>
          <rPr>
            <sz val="11"/>
            <color theme="1"/>
            <rFont val="Calibri"/>
            <family val="2"/>
            <charset val="1"/>
          </rPr>
          <t>Response within 7 days; progress report after each</t>
        </r>
      </text>
    </comment>
    <comment ref="A31" authorId="0" shapeId="0" xr:uid="{00000000-0006-0000-0000-000014000000}">
      <text>
        <r>
          <rPr>
            <sz val="11"/>
            <color theme="1"/>
            <rFont val="Calibri"/>
            <family val="2"/>
            <charset val="1"/>
          </rPr>
          <t>Complete before thesis submission</t>
        </r>
      </text>
    </comment>
    <comment ref="A32" authorId="0" shapeId="0" xr:uid="{00000000-0006-0000-0000-000015000000}">
      <text>
        <r>
          <rPr>
            <sz val="11"/>
            <color theme="1"/>
            <rFont val="Calibri"/>
            <family val="2"/>
            <charset val="1"/>
          </rPr>
          <t>Aim 2B</t>
        </r>
      </text>
    </comment>
    <comment ref="A33" authorId="0" shapeId="0" xr:uid="{00000000-0006-0000-0000-000016000000}">
      <text>
        <r>
          <rPr>
            <sz val="11"/>
            <color theme="1"/>
            <rFont val="Calibri"/>
            <family val="2"/>
            <charset val="1"/>
          </rPr>
          <t>Exploratory only with about 20 patients</t>
        </r>
      </text>
    </comment>
    <comment ref="A35" authorId="0" shapeId="0" xr:uid="{00000000-0006-0000-0000-000017000000}">
      <text>
        <r>
          <rPr>
            <sz val="11"/>
            <color theme="1"/>
            <rFont val="Calibri"/>
            <family val="2"/>
            <charset val="1"/>
          </rPr>
          <t>Two required first-author papers must be accepted/published before synopsis</t>
        </r>
      </text>
    </comment>
    <comment ref="A36" authorId="0" shapeId="0" xr:uid="{00000000-0006-0000-0000-000018000000}">
      <text>
        <r>
          <rPr>
            <sz val="11"/>
            <color theme="1"/>
            <rFont val="Calibri"/>
            <family val="2"/>
            <charset val="1"/>
          </rPr>
          <t>Broad supporting activity</t>
        </r>
      </text>
    </comment>
    <comment ref="A37" authorId="0" shapeId="0" xr:uid="{00000000-0006-0000-0000-000019000000}">
      <text>
        <r>
          <rPr>
            <sz val="11"/>
            <color theme="1"/>
            <rFont val="Calibri"/>
            <family val="2"/>
            <charset val="1"/>
          </rPr>
          <t>Planned Mar 2030; assumes six-monthly DACs</t>
        </r>
      </text>
    </comment>
    <comment ref="A38" authorId="0" shapeId="0" xr:uid="{00000000-0006-0000-0000-00001A000000}">
      <text>
        <r>
          <rPr>
            <sz val="11"/>
            <color theme="1"/>
            <rFont val="Calibri"/>
            <family val="2"/>
            <charset val="1"/>
          </rPr>
          <t>Within 6 months after DAC 6; planned Aug 2030</t>
        </r>
      </text>
    </comment>
    <comment ref="A39" authorId="0" shapeId="0" xr:uid="{00000000-0006-0000-0000-00001B000000}">
      <text>
        <r>
          <rPr>
            <sz val="11"/>
            <color theme="1"/>
            <rFont val="Calibri"/>
            <family val="2"/>
            <charset val="1"/>
          </rPr>
          <t>Complete before thesis submission</t>
        </r>
      </text>
    </comment>
    <comment ref="A40" authorId="0" shapeId="0" xr:uid="{00000000-0006-0000-0000-00001C000000}">
      <text>
        <r>
          <rPr>
            <sz val="11"/>
            <color theme="1"/>
            <rFont val="Calibri"/>
            <family val="2"/>
            <charset val="1"/>
          </rPr>
          <t>Planned Aug 2030; must satisfy minimum duration from admission/registration</t>
        </r>
      </text>
    </comment>
    <comment ref="A42" authorId="0" shapeId="0" xr:uid="{00000000-0006-0000-0000-00001D000000}">
      <text>
        <r>
          <rPr>
            <sz val="11"/>
            <color theme="1"/>
            <rFont val="Calibri"/>
            <family val="2"/>
            <charset val="1"/>
          </rPr>
          <t>At least monthly</t>
        </r>
      </text>
    </comment>
    <comment ref="A43" authorId="0" shapeId="0" xr:uid="{00000000-0006-0000-0000-00001E000000}">
      <text>
        <r>
          <rPr>
            <sz val="11"/>
            <color theme="1"/>
            <rFont val="Calibri"/>
            <family val="2"/>
            <charset val="1"/>
          </rPr>
          <t>Complete before synopsis; guide/supervisor corresponding author</t>
        </r>
      </text>
    </comment>
    <comment ref="A44" authorId="0" shapeId="0" xr:uid="{00000000-0006-0000-0000-00001F000000}">
      <text>
        <r>
          <rPr>
            <sz val="11"/>
            <color theme="1"/>
            <rFont val="Calibri"/>
            <family val="2"/>
            <charset val="1"/>
          </rPr>
          <t>Every 6 months; two consecutive missed reports can cancel registration</t>
        </r>
      </text>
    </comment>
    <comment ref="A46" authorId="0" shapeId="0" xr:uid="{00000000-0006-0000-0000-000020000000}">
      <text>
        <r>
          <rPr>
            <sz val="11"/>
            <color theme="1"/>
            <rFont val="Calibri"/>
            <family val="2"/>
            <charset val="1"/>
          </rPr>
          <t>Tentative and on hold at supervisor's request</t>
        </r>
      </text>
    </comment>
  </commentList>
</comments>
</file>

<file path=xl/sharedStrings.xml><?xml version="1.0" encoding="utf-8"?>
<sst xmlns="http://schemas.openxmlformats.org/spreadsheetml/2006/main" count="779" uniqueCount="509">
  <si>
    <t>WORKSTREAM / TASK</t>
  </si>
  <si>
    <t>STATUS / MILESTONE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</si>
  <si>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</si>
  <si>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</si>
  <si>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</si>
  <si>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</si>
  <si>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</si>
  <si>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</si>
  <si>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</si>
  <si>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</si>
  <si>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</si>
  <si>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</si>
  <si>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</si>
  <si>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</si>
  <si>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PRE-APPLICATION MANUSCRIPT WORK</t>
  </si>
  <si>
    <t>BCR reconstruction and QC: GSE166780 + GSE173983</t>
  </si>
  <si>
    <t>Planned</t>
  </si>
  <si>
    <t>TRUST4 / MiXCR comparison and repertoire analyses beyond bcRflow</t>
  </si>
  <si>
    <t>Antigen-dependent analysis and candidate prioritisation</t>
  </si>
  <si>
    <t>AlphaFold-Multimer pilot and structural interpretation</t>
  </si>
  <si>
    <t>Tissue dataset analysis and manuscript consolidation</t>
  </si>
  <si>
    <t>APPLICATION AND ADMISSION</t>
  </si>
  <si>
    <t>A</t>
  </si>
  <si>
    <t>Admission presentation</t>
  </si>
  <si>
    <t>AP</t>
  </si>
  <si>
    <t>PROPOSAL AND REGISTRATION</t>
  </si>
  <si>
    <t>Form DAC and prepare 10–15 page proposal</t>
  </si>
  <si>
    <t>Submit Manuscript 1: public blood/tissue data (Aim 2A)</t>
  </si>
  <si>
    <t>M1</t>
  </si>
  <si>
    <t>MSMF protocol presentation to DAC</t>
  </si>
  <si>
    <t>P1</t>
  </si>
  <si>
    <t>Respond to DAC comments and collect signatures</t>
  </si>
  <si>
    <t>7d</t>
  </si>
  <si>
    <t>Submit proposal to MAHE; MAHE PPAC / registration</t>
  </si>
  <si>
    <t>P2</t>
  </si>
  <si>
    <t>DAC 1: report of MAHE presentation</t>
  </si>
  <si>
    <t>D1</t>
  </si>
  <si>
    <t>YEAR 1: SEP 2027–AUG 2028</t>
  </si>
  <si>
    <t>Complete 12 coursework credits</t>
  </si>
  <si>
    <t>E</t>
  </si>
  <si>
    <t>Extend public-data analysis: tissue vs PBMC; stable vs advanced disease</t>
  </si>
  <si>
    <t>Design CT calcium score cohort study and confirm clinical partner</t>
  </si>
  <si>
    <t>Recruitment and PBMC collection (about 20 patients)</t>
  </si>
  <si>
    <t>Draft/submit review article; first conference/poster</t>
  </si>
  <si>
    <t>R1</t>
  </si>
  <si>
    <t>Finish recruitment; RNA extraction, QC, library preparation and RNA-seq</t>
  </si>
  <si>
    <t>Optional antigen-dependent / AlphaFold analysis on selected candidates</t>
  </si>
  <si>
    <t>DAC 2–5: six-monthly presentations and progress reports</t>
  </si>
  <si>
    <t>D2–D5</t>
  </si>
  <si>
    <t>Second conference/poster presentation</t>
  </si>
  <si>
    <t>C2</t>
  </si>
  <si>
    <t>BCR reconstruction and repertoire analysis of new RNA-seq</t>
  </si>
  <si>
    <t>Explore repertoire associations with CT calcium score</t>
  </si>
  <si>
    <t>YEAR 3: SEP 2029–AUG 2030</t>
  </si>
  <si>
    <t>Submit Manuscript 2 (Aim 2B); thesis writing alongside papers</t>
  </si>
  <si>
    <t>M2</t>
  </si>
  <si>
    <t>Grant concept note / wider blood-based prognostic study</t>
  </si>
  <si>
    <t>DAC 6: seek permission for open synopsis presentation</t>
  </si>
  <si>
    <t>D6</t>
  </si>
  <si>
    <t>Open synopsis presentation</t>
  </si>
  <si>
    <t>S</t>
  </si>
  <si>
    <t>Turnitin report (&lt;15%) and CDS NOC</t>
  </si>
  <si>
    <t>NOC</t>
  </si>
  <si>
    <t>Thesis submission to Registrar (Evaluation)</t>
  </si>
  <si>
    <t>T</t>
  </si>
  <si>
    <t>ONGOING REQUIREMENTS</t>
  </si>
  <si>
    <t>Supervisor/co-supervisor review</t>
  </si>
  <si>
    <t>Two first-author papers (IF ≥3.0; MAHE affiliation)</t>
  </si>
  <si>
    <t>Progress reports to MAHE/CDS after DAC reviews</t>
  </si>
  <si>
    <t>PARKED AIM</t>
  </si>
  <si>
    <t>Aim 1: agent-based model of adaptive immune response</t>
  </si>
  <si>
    <t>HOLD</t>
  </si>
  <si>
    <t>ID</t>
  </si>
  <si>
    <t>Month</t>
  </si>
  <si>
    <t>Workstream</t>
  </si>
  <si>
    <t>Task / Goal</t>
  </si>
  <si>
    <t>Estimated effort (days)</t>
  </si>
  <si>
    <t>Status</t>
  </si>
  <si>
    <t>Definition of done / deliverable</t>
  </si>
  <si>
    <t>Next action / notes</t>
  </si>
  <si>
    <t>Deadline type</t>
  </si>
  <si>
    <t>Latest date / rule</t>
  </si>
  <si>
    <t>October</t>
  </si>
  <si>
    <t>Planning</t>
  </si>
  <si>
    <t>Audit existing analysis and freeze blood-dataset sample metadata</t>
  </si>
  <si>
    <t>Not Started</t>
  </si>
  <si>
    <t>Verified sample sheet, group labels, inclusion/exclusion rules</t>
  </si>
  <si>
    <t>Confirm counts and conditions for GSE166780 and GSE173983</t>
  </si>
  <si>
    <t>BCR reconstruction</t>
  </si>
  <si>
    <t>Re-run reconstruction on GSE166780</t>
  </si>
  <si>
    <t>Per-sample outputs, logs, tool versions, parameters and QC recorded</t>
  </si>
  <si>
    <t>Compare rerun with existing TRUST4 and MiXCR outputs</t>
  </si>
  <si>
    <t>Re-run reconstruction on GSE173983</t>
  </si>
  <si>
    <t>Per-sample outputs, logs and QC recorded</t>
  </si>
  <si>
    <t>Keep validation cohort separate</t>
  </si>
  <si>
    <t>Pipeline comparison</t>
  </si>
  <si>
    <t>Compare TRUST4 and MiXCR reconstruction outputs</t>
  </si>
  <si>
    <t>Per-sample summary of productive contigs, chain recovery, QC and failures</t>
  </si>
  <si>
    <t>Do not select a tool on total sequence counts alone</t>
  </si>
  <si>
    <t>Repertoire analysis</t>
  </si>
  <si>
    <t>Run diversity/repertoire tools beyond bcRflow</t>
  </si>
  <si>
    <t>Reproducible sample-level metrics and figures for both cohorts</t>
  </si>
  <si>
    <t>Assess diversity, clonality, V/J usage, CDR3 and isotype where supported</t>
  </si>
  <si>
    <t>Statistics</t>
  </si>
  <si>
    <t>Create cross-dataset analysis table and statistical plan</t>
  </si>
  <si>
    <t>Master table, planned group comparisons and documented cohort limitations</t>
  </si>
  <si>
    <t>GSE173983 is very small (n=4 total per documentation)</t>
  </si>
  <si>
    <t>Manuscript</t>
  </si>
  <si>
    <t>Create manuscript skeleton and figure plan</t>
  </si>
  <si>
    <t>Working title, aims, Methods outline and planned figures</t>
  </si>
  <si>
    <t>Keep claims proportionate to the public bulk RNA-seq cohorts</t>
  </si>
  <si>
    <t>November</t>
  </si>
  <si>
    <t>Antigen-dependent analysis</t>
  </si>
  <si>
    <t>Audit and consolidate existing antigen-dependent outputs</t>
  </si>
  <si>
    <t>Inventory of candidates, antigen list, pairing/structure status and gaps</t>
  </si>
  <si>
    <t>Mark what is complete, needs rerunning, or is not reliable</t>
  </si>
  <si>
    <t>Prioritise candidate BCR/antibody sequences</t>
  </si>
  <si>
    <t>Transparent candidate-selection criteria and ranked candidate list</t>
  </si>
  <si>
    <t>Clonal expansion is not by itself proof of antigen specificity</t>
  </si>
  <si>
    <t>Complete or refresh antigen-dependent analysis for selected candidates</t>
  </si>
  <si>
    <t>Reproducible candidate–antigen table and interpretable figures</t>
  </si>
  <si>
    <t>Record antigen structure/provenance and uncertainty</t>
  </si>
  <si>
    <t>Structural modelling</t>
  </si>
  <si>
    <t>Decide where AlphaFold/AlphaFold-Multimer may help</t>
  </si>
  <si>
    <t>Short methods decision note and pilot design</t>
  </si>
  <si>
    <t>Check chain setup, antigen construct and complex confidence metrics</t>
  </si>
  <si>
    <t>Run a small AlphaFold complex-modelling pilot</t>
  </si>
  <si>
    <t>Pilot structures and quality summary compared with existing docking</t>
  </si>
  <si>
    <t>Predicted structures/confidence are not proof of binding</t>
  </si>
  <si>
    <t>Integration</t>
  </si>
  <si>
    <t>Integrate repertoire, antigen and structural results</t>
  </si>
  <si>
    <t>Coherent tables/figures and explicit limitations</t>
  </si>
  <si>
    <t>Identify strongest manuscript-level claims and remaining gaps</t>
  </si>
  <si>
    <t>Draft Methods and Results for blood-dataset work</t>
  </si>
  <si>
    <t>First complete draft of Methods and Results with figure references</t>
  </si>
  <si>
    <t>Draft while results stabilise</t>
  </si>
  <si>
    <t>December</t>
  </si>
  <si>
    <t>Tissue datasets</t>
  </si>
  <si>
    <t>Identify suitable tissue RNA-seq datasets</t>
  </si>
  <si>
    <t>Dataset screening table: accession, tissue, sample size, phenotype, reads, metadata</t>
  </si>
  <si>
    <t>Prefer a manageable dataset with useful metadata</t>
  </si>
  <si>
    <t>Download/process selected tissue data and run QC</t>
  </si>
  <si>
    <t>QC summaries and reproducible processing logs</t>
  </si>
  <si>
    <t>Avoid expanding to many datasets</t>
  </si>
  <si>
    <t>Tissue BCR reconstruction</t>
  </si>
  <si>
    <t>Run BCR reconstruction on selected tissue data</t>
  </si>
  <si>
    <t>Per-sample reconstruction outputs and comparable QC metrics</t>
  </si>
  <si>
    <t>Tissue and PBMC may differ in immune-cell abundance and BCR recovery</t>
  </si>
  <si>
    <t>Tissue repertoire analysis</t>
  </si>
  <si>
    <t>Run diversity/clonality analyses on tissue data</t>
  </si>
  <si>
    <t>Tissue sample-level repertoire table and core figures</t>
  </si>
  <si>
    <t>Reuse metric definitions where technically appropriate</t>
  </si>
  <si>
    <t>Cross-compartment</t>
  </si>
  <si>
    <t>Compare tissue and blood results where valid</t>
  </si>
  <si>
    <t>Comparison with explicit cohort/protocol caveats</t>
  </si>
  <si>
    <t>Avoid pooling incompatible designs</t>
  </si>
  <si>
    <t>Integrate findings and prepare manuscript package</t>
  </si>
  <si>
    <t>Coherent draft, core figures, methods, results and limitations for supervisor review</t>
  </si>
  <si>
    <t>Reserve time for revisions and reproducibility checks</t>
  </si>
  <si>
    <t>All three months</t>
  </si>
  <si>
    <t>Reproducibility</t>
  </si>
  <si>
    <t>Maintain run log, versions, parameters, scripts and provenance</t>
  </si>
  <si>
    <t>In Progress</t>
  </si>
  <si>
    <t>Every reported result traceable to code, inputs and parameters</t>
  </si>
  <si>
    <t>Update after each run</t>
  </si>
  <si>
    <t>Supervisor check-ins</t>
  </si>
  <si>
    <t>Review progress, unblock decisions and agree scope cuts</t>
  </si>
  <si>
    <t>Short decision log after each check-in</t>
  </si>
  <si>
    <t>Agree early on minimum manuscript-ready scope</t>
  </si>
  <si>
    <t>January 2027</t>
  </si>
  <si>
    <t>Supervisor review and revision of the pre-admission manuscript draft</t>
  </si>
  <si>
    <t>Reviewed draft with an agreed list of revisions and open claims</t>
  </si>
  <si>
    <t>Keep claims proportionate to the public bulk RNA-seq data</t>
  </si>
  <si>
    <t>Application</t>
  </si>
  <si>
    <t>Confirm eligibility and PI funding/interest, then email the application to the PhD office</t>
  </si>
  <si>
    <t>Application sent in the January intake; test-waiver status known</t>
  </si>
  <si>
    <t>Written test is waived for staff with more than 6 months at MSMF - confirm if this applies. Send to phd.office@ms-mf.org</t>
  </si>
  <si>
    <t>FIXED</t>
  </si>
  <si>
    <t>January 2027 intake</t>
  </si>
  <si>
    <t>Prepare the admission presentation: rationale and at least two aims (Aim 2A, Aim 2B)</t>
  </si>
  <si>
    <t>Short deck with rationale, both aims, preliminary results from the Oct-Dec work and expected outcomes</t>
  </si>
  <si>
    <t>Aim 1 (agent-based model) is on hold per the supervisor; leave it out unless he asks</t>
  </si>
  <si>
    <t>Jan-Feb 2027</t>
  </si>
  <si>
    <t>Written test, if not waived</t>
  </si>
  <si>
    <t>Test completed</t>
  </si>
  <si>
    <t>Covers basic statistics, chemistry, instrumentation, cell and molecular biology. Skip if waived</t>
  </si>
  <si>
    <t>February 2027 (assumed)</t>
  </si>
  <si>
    <t>Admission</t>
  </si>
  <si>
    <t>Admission presentation to MSMF - Day 0 for all coordinator ceilings</t>
  </si>
  <si>
    <t>Presentation delivered and selection outcome received</t>
  </si>
  <si>
    <t>Assumed date. Update the yellow date on Key Deadlines once MSMF confirms</t>
  </si>
  <si>
    <t>Feb-Mar 2027</t>
  </si>
  <si>
    <t>Complete MAHE admission: admission order form, joining report, fee payment</t>
  </si>
  <si>
    <t>Admission order and joining report filed; fees paid</t>
  </si>
  <si>
    <t>Late fee payment can cancel registration</t>
  </si>
  <si>
    <t>Mar-Apr 2027</t>
  </si>
  <si>
    <t>Proposal</t>
  </si>
  <si>
    <t>Form the DAC (maximum 8 members, including an external clinician and a clinician from the sample source)</t>
  </si>
  <si>
    <t>DAC list agreed by the PhD coordinator and supervisor</t>
  </si>
  <si>
    <t>Aim 2B needs a clinician from the sample-collection site (NH or another partner)</t>
  </si>
  <si>
    <t>Mar-May 2027</t>
  </si>
  <si>
    <t>Write the 10-15 page proposal: two aims, Gantt chart, preliminary work, clinical relevance, translational outcome/IP</t>
  </si>
  <si>
    <t>Supervisor-approved proposal in MAHE format, with Turnitin report</t>
  </si>
  <si>
    <t>Needs an external funding plan and a supervisor declaration</t>
  </si>
  <si>
    <t>Mar-Aug 2027</t>
  </si>
  <si>
    <t>Submit manuscript 1 (Aim 2A, public blood and tissue data) to a journal with IF 3.0 or higher</t>
  </si>
  <si>
    <t>Manuscript submitted; first author, guide corresponding</t>
  </si>
  <si>
    <t>MAHE affiliation is needed for it to count as a required paper; check with the coordinator since the work started before admission</t>
  </si>
  <si>
    <t>Jun 2027 (planned)</t>
  </si>
  <si>
    <t>Protocol presentation at MSMF to the DAC (1-page summary to members at least 3 days before)</t>
  </si>
  <si>
    <t>Presentation delivered; DAC comments recorded</t>
  </si>
  <si>
    <t>Coordinator ceiling is 6 months after the admission presentation</t>
  </si>
  <si>
    <t>Within 7 days</t>
  </si>
  <si>
    <t>Signed response circulated to all DAC members</t>
  </si>
  <si>
    <t>Applies after every DAC presentation, not just this one</t>
  </si>
  <si>
    <t>7 days after each DAC</t>
  </si>
  <si>
    <t>Aug 2027 (planned)</t>
  </si>
  <si>
    <t>Registration</t>
  </si>
  <si>
    <t>Submit proposal and Turnitin report to MAHE, then present to the MAHE PPAC (4-6 weeks after submission)</t>
  </si>
  <si>
    <t>PPAC approval; the presentation date becomes the registration date</t>
  </si>
  <si>
    <t>Submit soon after the MSMF presentation so the PPAC lands inside the 2-month ceiling</t>
  </si>
  <si>
    <t>Sep 2027 (planned)</t>
  </si>
  <si>
    <t>DAC 1: report on the MAHE presentation</t>
  </si>
  <si>
    <t>DAC 1 minutes filed; next DAC date set</t>
  </si>
  <si>
    <t>Board ceiling is 2 weeks after the PPAC</t>
  </si>
  <si>
    <t>Y1 H1 (Sep 2027-Feb 2028)</t>
  </si>
  <si>
    <t>Coursework</t>
  </si>
  <si>
    <t>Complete 12 credits: 6 research-specific, 4 methodology, 2 publication ethics</t>
  </si>
  <si>
    <t>Transcript and comprehensive grade sheet</t>
  </si>
  <si>
    <t>One credit is 16 learning hours. Missing the deadline cancels registration</t>
  </si>
  <si>
    <t>Ethics</t>
  </si>
  <si>
    <t>Ethics approval for Aim 2B patient samples and data (IBSC only if recombinant DNA is involved)</t>
  </si>
  <si>
    <t>Approvals in hand before any recruitment</t>
  </si>
  <si>
    <t>Guidelines say 6 months in one place and 1 year in another; plan to 6 months</t>
  </si>
  <si>
    <t>Aim 2A</t>
  </si>
  <si>
    <t>Extend public-data analysis: tissue vs PBMC, and stable vs advanced disease, for antigen-independent and antigen-specific features</t>
  </si>
  <si>
    <t>Comparative results with caveats; patterns that separate stable from advanced</t>
  </si>
  <si>
    <t>Reuse the Oct-Dec pipeline; compare only compatible study designs</t>
  </si>
  <si>
    <t>Aim 2B</t>
  </si>
  <si>
    <t>Design the CT calcium score study: clinical partner, mild (1-99) vs advanced (299 or more) criteria, n about 20, consent, sequencing plan</t>
  </si>
  <si>
    <t>Study protocol, partner agreement and sample-handling SOPs</t>
  </si>
  <si>
    <t>Settle NH or another partner early; everything in Aim 2B depends on it</t>
  </si>
  <si>
    <t>Respond to reviewer comments on manuscript 1 and resubmit if needed</t>
  </si>
  <si>
    <t>Revised manuscript and response letter</t>
  </si>
  <si>
    <t>Timing depends on the journal</t>
  </si>
  <si>
    <t>Y1 H2 to Y2 H2 (Mar 2028-Aug 2029)</t>
  </si>
  <si>
    <t>DAC cycle</t>
  </si>
  <si>
    <t>DAC 2-5: six-monthly DAC presentation, response within 7 days, and progress report to MAHE after each</t>
  </si>
  <si>
    <t>Four DAC meetings with minutes, each followed by a MAHE progress report</t>
  </si>
  <si>
    <t>Two consecutive missed reports cancels registration. Reports are 10-12 pages with DAC recommendation and coursework status</t>
  </si>
  <si>
    <t>Y1 H2 (Mar-Aug 2028)</t>
  </si>
  <si>
    <t>Start recruitment and PBMC collection (about 20 patients, mild vs advanced)</t>
  </si>
  <si>
    <t>Banked PBMC samples with clinical metadata and calcium scores</t>
  </si>
  <si>
    <t>Recruitment pace is the main schedule risk; start only after ethics approval</t>
  </si>
  <si>
    <t>Publications</t>
  </si>
  <si>
    <t>Draft a review article on BCR repertoires in atherosclerosis</t>
  </si>
  <si>
    <t>Review submitted</t>
  </si>
  <si>
    <t>Can count as one of the two required papers, which protects the schedule if Aim 2B runs late</t>
  </si>
  <si>
    <t>Conferences</t>
  </si>
  <si>
    <t>First conference or poster presentation</t>
  </si>
  <si>
    <t>Presentation certificate</t>
  </si>
  <si>
    <t>Two are needed before thesis submission</t>
  </si>
  <si>
    <t>Y2 H1 (Sep 2028-Feb 2029)</t>
  </si>
  <si>
    <t>Finish recruitment; RNA extraction, QC and library preparation</t>
  </si>
  <si>
    <t>All samples collected; RNA QC records</t>
  </si>
  <si>
    <t>Agree in-house vs vendor sequencing early</t>
  </si>
  <si>
    <t>RNA-seq of the PBMC samples</t>
  </si>
  <si>
    <t>Raw reads with QC</t>
  </si>
  <si>
    <t>Funding for sequencing comes from the external grant plan</t>
  </si>
  <si>
    <t>Optional: antigen-dependent and AlphaFold analysis on selected candidates from Aim 2A</t>
  </si>
  <si>
    <t>Candidate-antigen table and figures with limitations</t>
  </si>
  <si>
    <t>Cut first if time is short</t>
  </si>
  <si>
    <t>Y2 H2 (Mar-Aug 2029)</t>
  </si>
  <si>
    <t>BCR reconstruction and repertoire analysis of the new RNA-seq, using the validated pipeline</t>
  </si>
  <si>
    <t>Per-patient repertoire metrics and QC</t>
  </si>
  <si>
    <t>Reuse the tool decisions from the Oct-Dec comparison</t>
  </si>
  <si>
    <t>Association of repertoire properties (diversity, clonality, isotype, V/J, CDR3) with CT calcium score</t>
  </si>
  <si>
    <t>Exploratory associations with effect sizes and caveats</t>
  </si>
  <si>
    <t>About 20 patients supports exploratory findings, not definitive claims</t>
  </si>
  <si>
    <t>Second conference or poster presentation</t>
  </si>
  <si>
    <t>Y3 H1 (Sep 2029-Feb 2030)</t>
  </si>
  <si>
    <t>Write and submit manuscript 2 (Aim 2B)</t>
  </si>
  <si>
    <t>Submitted manuscript</t>
  </si>
  <si>
    <t>Acceptance before the synopsis is tight; manuscript 1 plus the review is the fallback pair</t>
  </si>
  <si>
    <t>Y2 H2 to Y3 H1 (Mar 2029-Feb 2030)</t>
  </si>
  <si>
    <t>Thesis</t>
  </si>
  <si>
    <t>Write thesis chapters alongside the papers</t>
  </si>
  <si>
    <t>Full thesis draft reviewed by the supervisor</t>
  </si>
  <si>
    <t>Start early; chapters can follow the papers</t>
  </si>
  <si>
    <t>Grant</t>
  </si>
  <si>
    <t>Groundwork for a grant proposal and a wider blood-based prognostic study</t>
  </si>
  <si>
    <t>Short concept note with preliminary data</t>
  </si>
  <si>
    <t>From the aims slide</t>
  </si>
  <si>
    <t>Mar 2030 (planned)</t>
  </si>
  <si>
    <t>Completion</t>
  </si>
  <si>
    <t>DAC 6: seek permission for the open synopsis presentation (all DAC members present)</t>
  </si>
  <si>
    <t>DAC approval to present the synopsis</t>
  </si>
  <si>
    <t>Needs at least 6 progress reports. Date assumes six-monthly DACs; confirm with the coordinator</t>
  </si>
  <si>
    <t>Before the synopsis</t>
  </si>
  <si>
    <t>Two first-author publications (IF 3.0 or higher, MAHE affiliation, guide corresponding) published or accepted</t>
  </si>
  <si>
    <t>Acceptance letters or reprints</t>
  </si>
  <si>
    <t>One may be a review. Effort is counted in the writing tasks above</t>
  </si>
  <si>
    <t>Mar-Aug 2030</t>
  </si>
  <si>
    <t>Incorporate DAC suggestions and give the open synopsis presentation</t>
  </si>
  <si>
    <t>Synopsis approved by the DAC</t>
  </si>
  <si>
    <t>Board ceiling is 6 months after DAC 6</t>
  </si>
  <si>
    <t>Before thesis submission</t>
  </si>
  <si>
    <t>Two conference or poster presentations completed with evidence</t>
  </si>
  <si>
    <t>Certificates or reprints</t>
  </si>
  <si>
    <t>DAC may waive this with patents and more than two papers</t>
  </si>
  <si>
    <t>Aug 2030 (planned)</t>
  </si>
  <si>
    <t>Turnitin report (similarity under 15%) and CDS NOC after dues clearance</t>
  </si>
  <si>
    <t>Report and NOC in hand</t>
  </si>
  <si>
    <t>Start the NOC paperwork before the synopsis</t>
  </si>
  <si>
    <t>Submit the thesis to the Registrar (Evaluation)</t>
  </si>
  <si>
    <t>Thesis submitted</t>
  </si>
  <si>
    <t>Not before 3 years from registration and 3.5 years from admission. Board ceiling is 7 days after the synopsis</t>
  </si>
  <si>
    <t>After submission</t>
  </si>
  <si>
    <t>Examiner evaluation, public defense and viva; degree at the next convocation</t>
  </si>
  <si>
    <t>Degree awarded</t>
  </si>
  <si>
    <t>Two examiners; timing is outside your control</t>
  </si>
  <si>
    <t>2027-2030</t>
  </si>
  <si>
    <t>Parked</t>
  </si>
  <si>
    <t>Aim 1: agent-based model of the adaptive immune response (tentative)</t>
  </si>
  <si>
    <t>On Hold</t>
  </si>
  <si>
    <t>Decide at a later DAC whether it has a place</t>
  </si>
  <si>
    <t>Supervisor asked to keep this aside for now</t>
  </si>
  <si>
    <t>All years</t>
  </si>
  <si>
    <t>Supervisor and co-supervisor review of the research</t>
  </si>
  <si>
    <t>Short decision log after each review</t>
  </si>
  <si>
    <t>Guidelines require review at least once a month</t>
  </si>
  <si>
    <t>Monthly</t>
  </si>
  <si>
    <t>Fixed deadlines and milestone dates</t>
  </si>
  <si>
    <t>Admission presentation date (ASSUMED - edit when MSMF confirms)</t>
  </si>
  <si>
    <t>Everything below recalculates from these dates. Only the yellow cells are inputs.</t>
  </si>
  <si>
    <t>MSMF protocol presentation - planned (overwrite with the real date)</t>
  </si>
  <si>
    <t>MAHE PPAC presentation = registration date - planned (overwrite with the real date)</t>
  </si>
  <si>
    <t>Milestone</t>
  </si>
  <si>
    <t>Source</t>
  </si>
  <si>
    <t>Rule</t>
  </si>
  <si>
    <t>Planned date</t>
  </si>
  <si>
    <t>Latest date</t>
  </si>
  <si>
    <t>Notes</t>
  </si>
  <si>
    <t>Admission presentation (Day 0)</t>
  </si>
  <si>
    <t>Coordinator board</t>
  </si>
  <si>
    <t>Start of every ceiling below</t>
  </si>
  <si>
    <t>Assumed date; the PhD office sets the real one.</t>
  </si>
  <si>
    <t>Protocol presentation at MSMF; DAC formed</t>
  </si>
  <si>
    <t>At most 6 months after the admission presentation</t>
  </si>
  <si>
    <t>Circulate a 1-page summary to the DAC at least 3 days before. Respond to comments within 7 days.</t>
  </si>
  <si>
    <t>Protocol presentation at MAHE (PPAC) = registration date</t>
  </si>
  <si>
    <t>Coordinator board; guidelines 8.3.3</t>
  </si>
  <si>
    <t>At most 2 months after the MSMF presentation</t>
  </si>
  <si>
    <t>MAHE schedules the PPAC 4-6 weeks after you submit, so submit soon after the MSMF presentation.</t>
  </si>
  <si>
    <t>DAC 1 - report of the MAHE presentation</t>
  </si>
  <si>
    <t>At most 2 weeks after the PPAC</t>
  </si>
  <si>
    <t>DAC 2</t>
  </si>
  <si>
    <t>Coordinator board; guidelines 9.2</t>
  </si>
  <si>
    <t>Every 6 months from DAC 1</t>
  </si>
  <si>
    <t>Each DAC is followed by a progress report to MAHE (CDS).</t>
  </si>
  <si>
    <t>DAC 3</t>
  </si>
  <si>
    <t>Every 6 months</t>
  </si>
  <si>
    <t>DAC 4</t>
  </si>
  <si>
    <t>DAC 5</t>
  </si>
  <si>
    <t>DAC 2-5 within 2 years of DAC 1</t>
  </si>
  <si>
    <t>The board shows 2 years against "DAC 2-5".</t>
  </si>
  <si>
    <t>DAC 6 - permission for the open synopsis presentation</t>
  </si>
  <si>
    <t>Coordinator board; guidelines 10.1</t>
  </si>
  <si>
    <t>Sixth DAC meeting; at least 6 progress reports</t>
  </si>
  <si>
    <t>TO CONFIRM: assumes DAC 6 comes 6 months after DAC 5. If the board's 2 years runs DAC 1 to DAC 6, the latest date is 6 months earlier.</t>
  </si>
  <si>
    <t>Open synopsis presentation (all DAC members present)</t>
  </si>
  <si>
    <t>At most 6 months after DAC 6</t>
  </si>
  <si>
    <t>Publications must be accepted or published first.</t>
  </si>
  <si>
    <t>Thesis submission</t>
  </si>
  <si>
    <t>Coordinator board; guidelines 3</t>
  </si>
  <si>
    <t>At most 7 days after the synopsis, and not before the minimum duration</t>
  </si>
  <si>
    <t>A 2-month grace period applies after the due date only if no extension was taken.</t>
  </si>
  <si>
    <t>Earliest thesis submission (minimum duration)</t>
  </si>
  <si>
    <t>MSMF/MAHE guidelines section 3</t>
  </si>
  <si>
    <t>At least 3 years from registration AND 3.5 years from admission</t>
  </si>
  <si>
    <t>Full-time candidates. Extensions need DAC recommendation and university approval.</t>
  </si>
  <si>
    <t>Maximum duration</t>
  </si>
  <si>
    <t>At most 6 years from registration (full-time)</t>
  </si>
  <si>
    <t>Registration is cancelled if the thesis is not submitted by then.</t>
  </si>
  <si>
    <t>Coursework: 12 credits</t>
  </si>
  <si>
    <t>MSMF/MAHE guidelines 9.1.1, 9.4</t>
  </si>
  <si>
    <t>Within 6 months of registration</t>
  </si>
  <si>
    <t>6 research-specific, 4 methodology, 2 publication ethics. Missing it cancels registration. (Section 9.1 elsewhere says before registration - confirm.)</t>
  </si>
  <si>
    <t>Ethics approval for patient samples/data (Aim 2B)</t>
  </si>
  <si>
    <t>MSMF/MAHE guidelines 8.1.3 and 5</t>
  </si>
  <si>
    <t>Within 6 months of registration (section 5 says 1 year)</t>
  </si>
  <si>
    <t>Plan to the stricter 6 months. IBSC approval only if recombinant DNA is involved.</t>
  </si>
  <si>
    <t>Response to DAC comments</t>
  </si>
  <si>
    <t>MSMF/MAHE guidelines 8.3.1, 9.2</t>
  </si>
  <si>
    <t>Within 7 days of each DAC presentation</t>
  </si>
  <si>
    <t>Signatures: guide, co-guide, coordinator, experts, chairman.</t>
  </si>
  <si>
    <t>Progress report to MAHE (CDS)</t>
  </si>
  <si>
    <t>MSMF/MAHE guidelines 9.2, 9.4</t>
  </si>
  <si>
    <t>Every 6 months; two consecutive misses cancel registration</t>
  </si>
  <si>
    <t>Maximum 10-12 pages, with DAC recommendation and coursework status.</t>
  </si>
  <si>
    <t>Two first-author publications (IF 3.0 or higher)</t>
  </si>
  <si>
    <t>MSMF/MAHE guidelines 9.3.1</t>
  </si>
  <si>
    <t>Published or accepted before the synopsis; MAHE affiliation; guide corresponding author</t>
  </si>
  <si>
    <t>One may be a review article.</t>
  </si>
  <si>
    <t>Two conference or poster presentations</t>
  </si>
  <si>
    <t>MSMF/MAHE guidelines 9.3.2</t>
  </si>
  <si>
    <t>Before thesis submission (DAC may waive with patents and more than two papers)</t>
  </si>
  <si>
    <t>Keep the certificates.</t>
  </si>
  <si>
    <t>Turnitin report (similarity under 15%) and CDS NOC</t>
  </si>
  <si>
    <t>MSMF/MAHE guidelines 10</t>
  </si>
  <si>
    <t>Before submission to the Registrar (Evaluation)</t>
  </si>
  <si>
    <t>NOC follows dues clearance.</t>
  </si>
  <si>
    <t>Check: does the board chain reach the minimum duration?</t>
  </si>
  <si>
    <t>OK means the board's ceilings run at least as late as the earliest allowed thesis date, so the two sets of rules do not contradict each other.</t>
  </si>
  <si>
    <t>Red = fixed deadline (latest date). Amber = fixed but needs confirming. Planned dates are suggestions that leave room before the ceilings.</t>
  </si>
  <si>
    <t>PhD Roadmap: October 2026 to 2030 (months after December are broad and assume the dates on Key Deadlines)</t>
  </si>
  <si>
    <t>Primary objective</t>
  </si>
  <si>
    <t>Key deliverables</t>
  </si>
  <si>
    <t>Success criterion</t>
  </si>
  <si>
    <t>Scope guardrail</t>
  </si>
  <si>
    <t>October 2026</t>
  </si>
  <si>
    <t>Redo BCR reconstruction and establish robust blood repertoire results</t>
  </si>
  <si>
    <t>Reproducible reconstruction; QC and TRUST4/MiXCR comparison; diversity/clonality/VJ/CDR3/isotype analyses beyond bcRflow; figure plan</t>
  </si>
  <si>
    <t>Sample-level results and defensible repertoire metrics across both blood cohorts</t>
  </si>
  <si>
    <t>Prioritise reliable comparable methods over adding many tools</t>
  </si>
  <si>
    <t>November 2026</t>
  </si>
  <si>
    <t>Complete antigen-dependent work and assess structural modelling</t>
  </si>
  <si>
    <t>Consolidated candidate–antigen results; small AlphaFold-Multimer pilot; initial Methods/Results draft</t>
  </si>
  <si>
    <t>Traceable evidence from candidate selection to structural predictions, with limitations</t>
  </si>
  <si>
    <t>Predicted structures are hypotheses, not experimental proof of binding</t>
  </si>
  <si>
    <t>December 2026</t>
  </si>
  <si>
    <t>Extend workflow to tissue datasets and consolidate manuscript</t>
  </si>
  <si>
    <t>Selected tissue dataset(s); QC/reconstruction/repertoire analysis; valid blood–tissue comparisons; revised draft</t>
  </si>
  <si>
    <t>Coherent manuscript draft ready for supervisor review</t>
  </si>
  <si>
    <t>If earlier work slips, reduce tissue scope rather than leaving all analyses incomplete</t>
  </si>
  <si>
    <t>Apply and be admitted</t>
  </si>
  <si>
    <t>Application sent; admission presentation (assumed late February); MAHE admission paperwork</t>
  </si>
  <si>
    <t>Selected for the PhD and admitted to MAHE</t>
  </si>
  <si>
    <t>Do not wait for a perfect manuscript; the January intake is the deadline</t>
  </si>
  <si>
    <t>Proposal, DAC, protocol presentations, registration</t>
  </si>
  <si>
    <t>DAC formed; 10-15 page proposal; MSMF presentation (ceiling 6 months after admission presentation); MAHE PPAC (ceiling 2 months later); manuscript 1 submitted</t>
  </si>
  <si>
    <t>Registered with MAHE and DAC 1 held inside the coordinator ceilings</t>
  </si>
  <si>
    <t>Submit to MAHE early; the PPAC date is out of your hands</t>
  </si>
  <si>
    <t>Sep 2027-Aug 2028 (Year 1)</t>
  </si>
  <si>
    <t>Coursework, ethics, finish Aim 2A, set up Aim 2B</t>
  </si>
  <si>
    <t>12 credits and ethics approval inside 6 months of registration; extended public-data analysis; Aim 2B protocol and partner; start recruitment; review article; DAC 2 and DAC 3 start</t>
  </si>
  <si>
    <t>Coursework and ethics done; recruitment under way</t>
  </si>
  <si>
    <t>Ethics approval comes before any recruitment</t>
  </si>
  <si>
    <t>Sep 2028-Aug 2029 (Year 2)</t>
  </si>
  <si>
    <t>Generate and analyse the Aim 2B data</t>
  </si>
  <si>
    <t>Recruitment finished; RNA-seq; BCR reconstruction; repertoire-calcium score association; second conference; DAC 3-5 and progress reports</t>
  </si>
  <si>
    <t>Repertoire results for about 20 patients with caveats</t>
  </si>
  <si>
    <t>If recruitment is slow, cut the optional antigen-dependent work first</t>
  </si>
  <si>
    <t>Sep 2029-Feb 2030 (Year 3, first half)</t>
  </si>
  <si>
    <t>Papers and thesis</t>
  </si>
  <si>
    <t>Manuscript 2 submitted; thesis chapters; grant groundwork; DAC 5</t>
  </si>
  <si>
    <t>Two first-author papers submitted or accepted (one may be a review)</t>
  </si>
  <si>
    <t>Publications must be accepted before the synopsis</t>
  </si>
  <si>
    <t>DAC 6, synopsis and thesis submission</t>
  </si>
  <si>
    <t>DAC 6 permission; open synopsis presentation; Turnitin and NOC; thesis submitted (not before the minimum duration)</t>
  </si>
  <si>
    <t>Thesis submitted; evaluation and viva follow</t>
  </si>
  <si>
    <t>Aim 1 is parked and not part of this plan</t>
  </si>
  <si>
    <t>Week starting</t>
  </si>
  <si>
    <t>This week's 1–3 outcomes</t>
  </si>
  <si>
    <t>Tasks worked on</t>
  </si>
  <si>
    <t>Completed / evidence</t>
  </si>
  <si>
    <t>Blockers / decisions</t>
  </si>
  <si>
    <t>Next week's focus</t>
  </si>
  <si>
    <t>Supervisor discussion</t>
  </si>
  <si>
    <t>Purpose</t>
  </si>
  <si>
    <t>Flexible tracker from October 2026 to thesis submission. October-December 2026 is manuscript work before PhD admission; the application starts in January 2027; later phases are broad.</t>
  </si>
  <si>
    <t>Re-run reconstruction for GSE166780 and GSE173983; compare TRUST4 and MiXCR where useful; run repertoire analyses beyond bcRflow; document QC and statistical design.</t>
  </si>
  <si>
    <t>Consolidate antigen-dependent analysis, prioritise candidates, run a small AlphaFold/AlphaFold-Multimer pilot if appropriate, and draft Methods/Results.</t>
  </si>
  <si>
    <t>Select and analyse a manageable tissue RNA-seq dataset; run reconstruction and repertoire analysis; compare tissue and blood only where study designs support it; consolidate manuscript.</t>
  </si>
  <si>
    <t>Documentation context</t>
  </si>
  <si>
    <t>The supplied document describes GSE166780 as 24 samples across noCAD/Mild-CAD/CAD-MI and GSE173983 as 4 samples across healthy/chronic CAD. TRUST4 is the primary route; MiXCR + immunarch is a parallel route. Existing metrics include diversity, clonality, isotype, V/J usage and CDR3.</t>
  </si>
  <si>
    <t>Planning rule</t>
  </si>
  <si>
    <t>Target months and effort estimates are flexible planning aids. Only rows marked FIXED carry deadlines, and those come from the coordinator board and the MSMF/MAHE guidelines.</t>
  </si>
  <si>
    <t>Definition of done</t>
  </si>
  <si>
    <t>Each task should end with an artifact: QC report, reproducible table, figure, decision note, script or manuscript section.</t>
  </si>
  <si>
    <t>Manuscript standard</t>
  </si>
  <si>
    <t>Prioritise a coherent and defensible story over maximum analysis count. Agree minimum scope and claims with your supervisor.</t>
  </si>
  <si>
    <t>AlphaFold caveat</t>
  </si>
  <si>
    <t>Predicted structures and confidence metrics do not establish experimental antigen binding; document inputs, candidate selection and uncertainty.</t>
  </si>
  <si>
    <t>If October blood analysis slips, reduce tissue dataset/candidate count rather than spreading effort across too many unfinished analyses.</t>
  </si>
  <si>
    <t>Colour key</t>
  </si>
  <si>
    <t>Red cells in "Deadline type" and "Latest date / rule" mark FIXED deadlines, and their task text is bold dark red. Row colours show the phase: green January-February 2027, purple March-August 2027, orange year 1, blue year 2, pink year 3.</t>
  </si>
  <si>
    <t>Fixed deadlines</t>
  </si>
  <si>
    <t>The ceilings are the coordinator's: admission presentation to MSMF protocol presentation 6 months; to MAHE 2 months; to DAC 1 2 weeks; DAC 2-5 within 2 years; DAC 6 to synopsis 6 months; synopsis to thesis 7 days. Other fixed items come from the guidelines. All dates are on the Key Deadlines sheet.</t>
  </si>
  <si>
    <t>Assumed dates</t>
  </si>
  <si>
    <t>The admission presentation date (26 February 2027) is an assumption. Change the yellow cell on Key Deadlines and every date recalculates. Planned dates leave room before each ceiling.</t>
  </si>
  <si>
    <t>Effort column</t>
  </si>
  <si>
    <t>For months after December, effort in days is indicative only.</t>
  </si>
  <si>
    <t>Aim 1</t>
  </si>
  <si>
    <t>The agent-based model is tentative and on hold, as the supervisor asked. It appears as one On Hold row.</t>
  </si>
  <si>
    <t>To confirm with the PhD office</t>
  </si>
  <si>
    <t>1) Does the 2 years on the board cover DAC 2-5, or DAC 1 to DAC 6? The plan assumes six-monthly DACs. 2) Ethics: 6 months (section 8.1.3) or 1 year (section 5)? The plan uses 6 months. 3) Can the pre-admission manuscript count as a required paper without a MAHE affiliation? 4) Are you exempt from the written test?</t>
  </si>
  <si>
    <t>Workplan Chart</t>
  </si>
  <si>
    <t>First worksheet: Gantt-style month-by-month diagram based on the attached PDF. Red = fixed milestones; green = pre-application/manuscript work; purple = proposal/completion; orange = Year 1; blue = Year 2; teal = ongoing requirements; grey = parked Aim 1.</t>
  </si>
  <si>
    <t>YEAR 0 (2026)</t>
  </si>
  <si>
    <t>YEAR 1 (2027)</t>
  </si>
  <si>
    <t>YEAR 3 (2029)</t>
  </si>
  <si>
    <t>YEAR 2 (2028)</t>
  </si>
  <si>
    <t>YEAR 4 (2030)</t>
  </si>
  <si>
    <t>Ongoing</t>
  </si>
  <si>
    <t>PhD MSMF WORKPLAN CHART AND TIMELINE</t>
  </si>
  <si>
    <t xml:space="preserve">PhD application — January </t>
  </si>
  <si>
    <t>YEAR 3: SEP 2028–AUG 2029</t>
  </si>
  <si>
    <t xml:space="preserve">Obtain ethics approval for Aim 2B before recruitment - PARALLEL to AIM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</si>
</sst>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color rgb="FF9C0006"/>
      <name val="Calibri"/>
      <charset val="1"/>
    </font>
    <font>
      <b/>
      <sz val="18"/>
      <color rgb="FFFFFFFF"/>
      <name val="Calibri"/>
      <charset val="1"/>
    </font>
    <font>
      <b/>
      <sz val="11"/>
      <name val="Calibri"/>
      <charset val="1"/>
    </font>
    <font>
      <b/>
      <sz val="11"/>
      <color rgb="FF0000FF"/>
      <name val="Calibri"/>
      <charset val="1"/>
    </font>
    <font>
      <i/>
      <sz val="11"/>
      <name val="Calibri"/>
      <charset val="1"/>
    </font>
    <font>
      <b/>
      <sz val="11"/>
      <color rgb="FF000000"/>
      <name val="Calibri"/>
      <charset val="1"/>
    </font>
    <font>
      <b/>
      <sz val="11"/>
      <color rgb="FF203864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1F1F1F"/>
      <name val="Calibri"/>
      <family val="2"/>
    </font>
    <font>
      <sz val="12"/>
      <color rgb="FF1F1F1F"/>
      <name val="Calibri"/>
      <family val="2"/>
    </font>
    <font>
      <b/>
      <sz val="12"/>
      <color rgb="FFC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20364F"/>
        <bgColor rgb="FF003366"/>
      </patternFill>
    </fill>
    <fill>
      <patternFill patternType="solid">
        <fgColor rgb="FFFFFFAB"/>
        <bgColor rgb="FFE2F0D9"/>
      </patternFill>
    </fill>
    <fill>
      <patternFill patternType="solid">
        <fgColor theme="7" tint="0.79989013336588644"/>
        <bgColor rgb="FFE4DFEC"/>
      </patternFill>
    </fill>
    <fill>
      <patternFill patternType="solid">
        <fgColor theme="8" tint="0.79989013336588644"/>
        <bgColor rgb="FFDDEBF7"/>
      </patternFill>
    </fill>
    <fill>
      <patternFill patternType="solid">
        <fgColor rgb="FFE2EFDA"/>
        <bgColor rgb="FFE2F0D9"/>
      </patternFill>
    </fill>
    <fill>
      <patternFill patternType="solid">
        <fgColor rgb="FFC00000"/>
        <bgColor rgb="FF9C0006"/>
      </patternFill>
    </fill>
    <fill>
      <patternFill patternType="solid">
        <fgColor rgb="FFE4DFEC"/>
        <bgColor rgb="FFE6E0EC"/>
      </patternFill>
    </fill>
    <fill>
      <patternFill patternType="solid">
        <fgColor rgb="FFFCE4D6"/>
        <bgColor rgb="FFF8E5F0"/>
      </patternFill>
    </fill>
    <fill>
      <patternFill patternType="solid">
        <fgColor rgb="FFD9E1F2"/>
        <bgColor rgb="FFE4DFEC"/>
      </patternFill>
    </fill>
    <fill>
      <patternFill patternType="solid">
        <fgColor rgb="FFF8E5F0"/>
        <bgColor rgb="FFFCE4D6"/>
      </patternFill>
    </fill>
    <fill>
      <patternFill patternType="solid">
        <fgColor rgb="FFD9D9D9"/>
        <bgColor rgb="FFE4DFEC"/>
      </patternFill>
    </fill>
    <fill>
      <patternFill patternType="solid">
        <fgColor rgb="FFF2F2F2"/>
        <bgColor rgb="FFF8E5F0"/>
      </patternFill>
    </fill>
    <fill>
      <patternFill patternType="solid">
        <fgColor rgb="FFFFC000"/>
        <bgColor rgb="FFFF9900"/>
      </patternFill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F3F6F9"/>
      </patternFill>
    </fill>
    <fill>
      <patternFill patternType="solid">
        <fgColor rgb="FF70AD47"/>
      </patternFill>
    </fill>
    <fill>
      <patternFill patternType="solid">
        <fgColor rgb="FFF4CCCC"/>
      </patternFill>
    </fill>
    <fill>
      <patternFill patternType="solid">
        <fgColor rgb="FFC00000"/>
      </patternFill>
    </fill>
    <fill>
      <patternFill patternType="solid">
        <fgColor rgb="FF8064A2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00A6A6"/>
      </patternFill>
    </fill>
    <fill>
      <patternFill patternType="solid">
        <fgColor rgb="FFA6A6A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A6A6A6"/>
      </left>
      <right style="thin">
        <color rgb="FFA6A6A6"/>
      </right>
      <top/>
      <bottom style="medium">
        <color rgb="FF2038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medium">
        <color rgb="FF2038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medium">
        <color rgb="FF203864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/>
      <bottom style="medium">
        <color rgb="FF203864"/>
      </bottom>
      <diagonal/>
    </border>
    <border>
      <left style="thin">
        <color rgb="FFA6A6A6"/>
      </left>
      <right style="medium">
        <color indexed="64"/>
      </right>
      <top/>
      <bottom style="medium">
        <color rgb="FF203864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0" fillId="3" borderId="0" xfId="0" applyFill="1"/>
    <xf numFmtId="0" fontId="0" fillId="4" borderId="1" xfId="0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4" borderId="0" xfId="0" applyFont="1" applyFill="1"/>
    <xf numFmtId="0" fontId="0" fillId="4" borderId="0" xfId="0" applyFill="1"/>
    <xf numFmtId="0" fontId="0" fillId="5" borderId="1" xfId="0" applyFill="1" applyBorder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5" borderId="0" xfId="0" applyFont="1" applyFill="1"/>
    <xf numFmtId="0" fontId="0" fillId="5" borderId="0" xfId="0" applyFill="1"/>
    <xf numFmtId="0" fontId="2" fillId="6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164" fontId="1" fillId="7" borderId="0" xfId="0" applyNumberFormat="1" applyFont="1" applyFill="1" applyAlignment="1">
      <alignment horizontal="left" vertical="top"/>
    </xf>
    <xf numFmtId="0" fontId="2" fillId="8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3" fillId="11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3" fillId="1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164" fontId="6" fillId="3" borderId="0" xfId="0" applyNumberFormat="1" applyFont="1" applyFill="1" applyAlignment="1">
      <alignment horizontal="left" vertical="top"/>
    </xf>
    <xf numFmtId="0" fontId="7" fillId="0" borderId="0" xfId="0" applyFont="1"/>
    <xf numFmtId="164" fontId="8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/>
    </xf>
    <xf numFmtId="164" fontId="8" fillId="14" borderId="0" xfId="0" applyNumberFormat="1" applyFont="1" applyFill="1" applyAlignment="1">
      <alignment horizontal="left" vertical="top"/>
    </xf>
    <xf numFmtId="0" fontId="5" fillId="0" borderId="0" xfId="0" applyFont="1"/>
    <xf numFmtId="0" fontId="1" fillId="2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9" fillId="0" borderId="0" xfId="0" applyFont="1"/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10" fillId="15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/>
    <xf numFmtId="0" fontId="10" fillId="15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 wrapText="1"/>
    </xf>
    <xf numFmtId="0" fontId="13" fillId="17" borderId="3" xfId="0" applyFont="1" applyFill="1" applyBorder="1"/>
    <xf numFmtId="0" fontId="11" fillId="18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4" fillId="19" borderId="3" xfId="0" applyFont="1" applyFill="1" applyBorder="1"/>
    <xf numFmtId="0" fontId="10" fillId="20" borderId="3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2" fillId="17" borderId="3" xfId="0" applyFont="1" applyFill="1" applyBorder="1"/>
    <xf numFmtId="0" fontId="10" fillId="18" borderId="3" xfId="0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2" fillId="25" borderId="3" xfId="0" applyFont="1" applyFill="1" applyBorder="1"/>
    <xf numFmtId="0" fontId="12" fillId="25" borderId="3" xfId="0" applyFont="1" applyFill="1" applyBorder="1" applyAlignment="1">
      <alignment horizontal="center" vertical="center"/>
    </xf>
    <xf numFmtId="0" fontId="11" fillId="25" borderId="3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18" borderId="5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24" borderId="7" xfId="0" applyFont="1" applyFill="1" applyBorder="1" applyAlignment="1">
      <alignment horizontal="center" vertical="center"/>
    </xf>
    <xf numFmtId="0" fontId="11" fillId="25" borderId="7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1" fillId="0" borderId="0" xfId="0" applyFont="1" applyBorder="1"/>
    <xf numFmtId="0" fontId="11" fillId="0" borderId="9" xfId="0" applyFont="1" applyBorder="1"/>
    <xf numFmtId="0" fontId="12" fillId="16" borderId="10" xfId="0" applyFont="1" applyFill="1" applyBorder="1" applyAlignment="1">
      <alignment horizontal="center" vertical="center"/>
    </xf>
    <xf numFmtId="0" fontId="12" fillId="16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20" borderId="12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5" borderId="13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0" xfId="0" applyFont="1" applyBorder="1"/>
    <xf numFmtId="0" fontId="11" fillId="0" borderId="9" xfId="0" applyFont="1" applyBorder="1"/>
    <xf numFmtId="0" fontId="11" fillId="22" borderId="5" xfId="0" applyFont="1" applyFill="1" applyBorder="1" applyAlignment="1">
      <alignment horizontal="center" vertical="center"/>
    </xf>
    <xf numFmtId="0" fontId="11" fillId="25" borderId="5" xfId="0" applyFont="1" applyFill="1" applyBorder="1" applyAlignment="1">
      <alignment horizontal="center" vertical="center"/>
    </xf>
    <xf numFmtId="0" fontId="11" fillId="22" borderId="12" xfId="0" applyFont="1" applyFill="1" applyBorder="1" applyAlignment="1">
      <alignment horizontal="center" vertical="center"/>
    </xf>
    <xf numFmtId="0" fontId="11" fillId="18" borderId="12" xfId="0" applyFont="1" applyFill="1" applyBorder="1" applyAlignment="1">
      <alignment horizontal="center" vertical="center"/>
    </xf>
    <xf numFmtId="0" fontId="11" fillId="25" borderId="12" xfId="0" applyFont="1" applyFill="1" applyBorder="1" applyAlignment="1">
      <alignment horizontal="center" vertical="center"/>
    </xf>
    <xf numFmtId="0" fontId="11" fillId="23" borderId="5" xfId="0" applyFont="1" applyFill="1" applyBorder="1" applyAlignment="1">
      <alignment horizontal="center" vertical="center"/>
    </xf>
    <xf numFmtId="0" fontId="11" fillId="20" borderId="5" xfId="0" applyFont="1" applyFill="1" applyBorder="1" applyAlignment="1">
      <alignment horizontal="center" vertical="center"/>
    </xf>
    <xf numFmtId="0" fontId="11" fillId="21" borderId="7" xfId="0" applyFont="1" applyFill="1" applyBorder="1" applyAlignment="1">
      <alignment horizontal="center" vertical="center"/>
    </xf>
    <xf numFmtId="0" fontId="11" fillId="23" borderId="12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11" fillId="21" borderId="1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2F2F2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AB"/>
      <rgbColor rgb="FFE4DFEC"/>
      <rgbColor rgb="FFF8E5F0"/>
      <rgbColor rgb="FFE6E0EC"/>
      <rgbColor rgb="FFFCE4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36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6"/>
  <sheetViews>
    <sheetView showGridLines="0" tabSelected="1" zoomScale="102" workbookViewId="0">
      <pane xSplit="2" ySplit="3" topLeftCell="AD23" activePane="bottomRight" state="frozen"/>
      <selection pane="topRight"/>
      <selection pane="bottomLeft"/>
      <selection pane="bottomRight" activeCell="F16" sqref="F16"/>
    </sheetView>
  </sheetViews>
  <sheetFormatPr defaultRowHeight="15.6" x14ac:dyDescent="0.3"/>
  <cols>
    <col min="1" max="1" width="58" style="48" customWidth="1"/>
    <col min="2" max="2" width="17" style="48" customWidth="1"/>
    <col min="3" max="5" width="4.33203125" style="48" customWidth="1"/>
    <col min="6" max="6" width="4.33203125" style="91" customWidth="1"/>
    <col min="7" max="17" width="4.33203125" style="92" customWidth="1"/>
    <col min="18" max="18" width="4.33203125" style="91" customWidth="1"/>
    <col min="19" max="29" width="4.33203125" style="92" customWidth="1"/>
    <col min="30" max="30" width="4.33203125" style="91" customWidth="1"/>
    <col min="31" max="41" width="4.33203125" style="92" customWidth="1"/>
    <col min="42" max="42" width="4.33203125" style="93" customWidth="1"/>
    <col min="43" max="49" width="4.33203125" style="48" customWidth="1"/>
    <col min="50" max="16384" width="8.88671875" style="48"/>
  </cols>
  <sheetData>
    <row r="1" spans="1:49" ht="30" customHeight="1" x14ac:dyDescent="0.3">
      <c r="A1" s="46" t="s">
        <v>505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x14ac:dyDescent="0.3">
      <c r="A2" s="49" t="s">
        <v>0</v>
      </c>
      <c r="B2" s="49" t="s">
        <v>1</v>
      </c>
      <c r="C2" s="50" t="s">
        <v>499</v>
      </c>
      <c r="D2" s="47"/>
      <c r="E2" s="47"/>
      <c r="F2" s="80" t="s">
        <v>500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2"/>
      <c r="R2" s="80" t="s">
        <v>502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2"/>
      <c r="AD2" s="80" t="s">
        <v>501</v>
      </c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50" t="s">
        <v>503</v>
      </c>
      <c r="AQ2" s="47"/>
      <c r="AR2" s="47"/>
      <c r="AS2" s="47"/>
      <c r="AT2" s="47"/>
      <c r="AU2" s="47"/>
      <c r="AV2" s="47"/>
      <c r="AW2" s="47"/>
    </row>
    <row r="3" spans="1:49" ht="16.2" thickBot="1" x14ac:dyDescent="0.35">
      <c r="A3" s="47"/>
      <c r="B3" s="47"/>
      <c r="C3" s="51" t="s">
        <v>2</v>
      </c>
      <c r="D3" s="51" t="s">
        <v>3</v>
      </c>
      <c r="E3" s="72" t="s">
        <v>4</v>
      </c>
      <c r="F3" s="83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  <c r="M3" s="51" t="s">
        <v>12</v>
      </c>
      <c r="N3" s="51" t="s">
        <v>13</v>
      </c>
      <c r="O3" s="51" t="s">
        <v>2</v>
      </c>
      <c r="P3" s="51" t="s">
        <v>3</v>
      </c>
      <c r="Q3" s="72" t="s">
        <v>4</v>
      </c>
      <c r="R3" s="83" t="s">
        <v>5</v>
      </c>
      <c r="S3" s="51" t="s">
        <v>6</v>
      </c>
      <c r="T3" s="51" t="s">
        <v>7</v>
      </c>
      <c r="U3" s="51" t="s">
        <v>8</v>
      </c>
      <c r="V3" s="51" t="s">
        <v>9</v>
      </c>
      <c r="W3" s="51" t="s">
        <v>10</v>
      </c>
      <c r="X3" s="51" t="s">
        <v>11</v>
      </c>
      <c r="Y3" s="51" t="s">
        <v>12</v>
      </c>
      <c r="Z3" s="51" t="s">
        <v>13</v>
      </c>
      <c r="AA3" s="51" t="s">
        <v>2</v>
      </c>
      <c r="AB3" s="51" t="s">
        <v>3</v>
      </c>
      <c r="AC3" s="72" t="s">
        <v>4</v>
      </c>
      <c r="AD3" s="83" t="s">
        <v>5</v>
      </c>
      <c r="AE3" s="51" t="s">
        <v>6</v>
      </c>
      <c r="AF3" s="51" t="s">
        <v>7</v>
      </c>
      <c r="AG3" s="51" t="s">
        <v>8</v>
      </c>
      <c r="AH3" s="51" t="s">
        <v>9</v>
      </c>
      <c r="AI3" s="51" t="s">
        <v>10</v>
      </c>
      <c r="AJ3" s="51" t="s">
        <v>11</v>
      </c>
      <c r="AK3" s="51" t="s">
        <v>12</v>
      </c>
      <c r="AL3" s="51" t="s">
        <v>13</v>
      </c>
      <c r="AM3" s="51" t="s">
        <v>2</v>
      </c>
      <c r="AN3" s="51" t="s">
        <v>3</v>
      </c>
      <c r="AO3" s="51" t="s">
        <v>4</v>
      </c>
      <c r="AP3" s="84" t="s">
        <v>5</v>
      </c>
      <c r="AQ3" s="76" t="s">
        <v>6</v>
      </c>
      <c r="AR3" s="51" t="s">
        <v>7</v>
      </c>
      <c r="AS3" s="51" t="s">
        <v>8</v>
      </c>
      <c r="AT3" s="51" t="s">
        <v>9</v>
      </c>
      <c r="AU3" s="51" t="s">
        <v>10</v>
      </c>
      <c r="AV3" s="51" t="s">
        <v>11</v>
      </c>
      <c r="AW3" s="51" t="s">
        <v>12</v>
      </c>
    </row>
    <row r="4" spans="1:49" ht="19.95" customHeight="1" x14ac:dyDescent="0.3">
      <c r="A4" s="46" t="s">
        <v>14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</row>
    <row r="5" spans="1:49" ht="24" customHeight="1" x14ac:dyDescent="0.3">
      <c r="A5" s="52" t="s">
        <v>15</v>
      </c>
      <c r="B5" s="53" t="s">
        <v>504</v>
      </c>
      <c r="C5" s="54"/>
      <c r="D5" s="55"/>
      <c r="E5" s="73"/>
      <c r="F5" s="85"/>
      <c r="G5" s="55"/>
      <c r="H5" s="55"/>
      <c r="I5" s="55"/>
      <c r="J5" s="55"/>
      <c r="K5" s="55"/>
      <c r="L5" s="55"/>
      <c r="M5" s="55"/>
      <c r="N5" s="55"/>
      <c r="O5" s="55"/>
      <c r="P5" s="55"/>
      <c r="Q5" s="73"/>
      <c r="R5" s="85"/>
      <c r="S5" s="55"/>
      <c r="T5" s="55"/>
      <c r="U5" s="55"/>
      <c r="V5" s="55"/>
      <c r="W5" s="55"/>
      <c r="X5" s="55"/>
      <c r="Y5" s="55"/>
      <c r="Z5" s="55"/>
      <c r="AA5" s="55"/>
      <c r="AB5" s="55"/>
      <c r="AC5" s="73"/>
      <c r="AD5" s="8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86"/>
      <c r="AQ5" s="77"/>
      <c r="AR5" s="55"/>
      <c r="AS5" s="55"/>
      <c r="AT5" s="55"/>
      <c r="AU5" s="55"/>
      <c r="AV5" s="55"/>
      <c r="AW5" s="55"/>
    </row>
    <row r="6" spans="1:49" ht="31.2" x14ac:dyDescent="0.3">
      <c r="A6" s="52" t="s">
        <v>17</v>
      </c>
      <c r="B6" s="53" t="s">
        <v>504</v>
      </c>
      <c r="C6" s="54"/>
      <c r="D6" s="55"/>
      <c r="E6" s="73"/>
      <c r="F6" s="85"/>
      <c r="G6" s="55"/>
      <c r="H6" s="55"/>
      <c r="I6" s="55"/>
      <c r="J6" s="55"/>
      <c r="K6" s="55"/>
      <c r="L6" s="55"/>
      <c r="M6" s="55"/>
      <c r="N6" s="55"/>
      <c r="O6" s="55"/>
      <c r="P6" s="55"/>
      <c r="Q6" s="73"/>
      <c r="R6" s="85"/>
      <c r="S6" s="55"/>
      <c r="T6" s="55"/>
      <c r="U6" s="55"/>
      <c r="V6" s="55"/>
      <c r="W6" s="55"/>
      <c r="X6" s="55"/>
      <c r="Y6" s="55"/>
      <c r="Z6" s="55"/>
      <c r="AA6" s="55"/>
      <c r="AB6" s="55"/>
      <c r="AC6" s="73"/>
      <c r="AD6" s="8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86"/>
      <c r="AQ6" s="77"/>
      <c r="AR6" s="55"/>
      <c r="AS6" s="55"/>
      <c r="AT6" s="55"/>
      <c r="AU6" s="55"/>
      <c r="AV6" s="55"/>
      <c r="AW6" s="55"/>
    </row>
    <row r="7" spans="1:49" ht="24" customHeight="1" x14ac:dyDescent="0.3">
      <c r="A7" s="52" t="s">
        <v>18</v>
      </c>
      <c r="B7" s="53" t="s">
        <v>16</v>
      </c>
      <c r="C7" s="55"/>
      <c r="D7" s="54"/>
      <c r="E7" s="73"/>
      <c r="F7" s="85"/>
      <c r="G7" s="55"/>
      <c r="H7" s="55"/>
      <c r="I7" s="55"/>
      <c r="J7" s="55"/>
      <c r="K7" s="55"/>
      <c r="L7" s="55"/>
      <c r="M7" s="55"/>
      <c r="N7" s="55"/>
      <c r="O7" s="55"/>
      <c r="P7" s="55"/>
      <c r="Q7" s="73"/>
      <c r="R7" s="85"/>
      <c r="S7" s="55"/>
      <c r="T7" s="55"/>
      <c r="U7" s="55"/>
      <c r="V7" s="55"/>
      <c r="W7" s="55"/>
      <c r="X7" s="55"/>
      <c r="Y7" s="55"/>
      <c r="Z7" s="55"/>
      <c r="AA7" s="55"/>
      <c r="AB7" s="55"/>
      <c r="AC7" s="73"/>
      <c r="AD7" s="8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86"/>
      <c r="AQ7" s="77"/>
      <c r="AR7" s="55"/>
      <c r="AS7" s="55"/>
      <c r="AT7" s="55"/>
      <c r="AU7" s="55"/>
      <c r="AV7" s="55"/>
      <c r="AW7" s="55"/>
    </row>
    <row r="8" spans="1:49" ht="24" customHeight="1" x14ac:dyDescent="0.3">
      <c r="A8" s="52" t="s">
        <v>19</v>
      </c>
      <c r="B8" s="53" t="s">
        <v>16</v>
      </c>
      <c r="C8" s="55"/>
      <c r="D8" s="54"/>
      <c r="E8" s="73"/>
      <c r="F8" s="85"/>
      <c r="G8" s="55"/>
      <c r="H8" s="55"/>
      <c r="I8" s="55"/>
      <c r="J8" s="55"/>
      <c r="K8" s="55"/>
      <c r="L8" s="55"/>
      <c r="M8" s="55"/>
      <c r="N8" s="55"/>
      <c r="O8" s="55"/>
      <c r="P8" s="55"/>
      <c r="Q8" s="73"/>
      <c r="R8" s="85"/>
      <c r="S8" s="55"/>
      <c r="T8" s="55"/>
      <c r="U8" s="55"/>
      <c r="V8" s="55"/>
      <c r="W8" s="55"/>
      <c r="X8" s="55"/>
      <c r="Y8" s="55"/>
      <c r="Z8" s="55"/>
      <c r="AA8" s="55"/>
      <c r="AB8" s="55"/>
      <c r="AC8" s="73"/>
      <c r="AD8" s="8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86"/>
      <c r="AQ8" s="77"/>
      <c r="AR8" s="55"/>
      <c r="AS8" s="55"/>
      <c r="AT8" s="55"/>
      <c r="AU8" s="55"/>
      <c r="AV8" s="55"/>
      <c r="AW8" s="55"/>
    </row>
    <row r="9" spans="1:49" ht="24" customHeight="1" x14ac:dyDescent="0.3">
      <c r="A9" s="52" t="s">
        <v>20</v>
      </c>
      <c r="B9" s="53" t="s">
        <v>16</v>
      </c>
      <c r="C9" s="55"/>
      <c r="D9" s="55"/>
      <c r="E9" s="74"/>
      <c r="F9" s="85"/>
      <c r="G9" s="55"/>
      <c r="H9" s="55"/>
      <c r="I9" s="55"/>
      <c r="J9" s="55"/>
      <c r="K9" s="55"/>
      <c r="L9" s="55"/>
      <c r="M9" s="55"/>
      <c r="N9" s="55"/>
      <c r="O9" s="55"/>
      <c r="P9" s="55"/>
      <c r="Q9" s="73"/>
      <c r="R9" s="85"/>
      <c r="S9" s="55"/>
      <c r="T9" s="55"/>
      <c r="U9" s="55"/>
      <c r="V9" s="55"/>
      <c r="W9" s="55"/>
      <c r="X9" s="55"/>
      <c r="Y9" s="55"/>
      <c r="Z9" s="55"/>
      <c r="AA9" s="55"/>
      <c r="AB9" s="55"/>
      <c r="AC9" s="73"/>
      <c r="AD9" s="8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86"/>
      <c r="AQ9" s="77"/>
      <c r="AR9" s="55"/>
      <c r="AS9" s="55"/>
      <c r="AT9" s="55"/>
      <c r="AU9" s="55"/>
      <c r="AV9" s="55"/>
      <c r="AW9" s="55"/>
    </row>
    <row r="10" spans="1:49" ht="19.95" customHeight="1" x14ac:dyDescent="0.3">
      <c r="A10" s="46" t="s">
        <v>21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</row>
    <row r="11" spans="1:49" ht="24" customHeight="1" x14ac:dyDescent="0.3">
      <c r="A11" s="56" t="s">
        <v>506</v>
      </c>
      <c r="B11" s="57" t="s">
        <v>22</v>
      </c>
      <c r="C11" s="55"/>
      <c r="D11" s="55"/>
      <c r="E11" s="73"/>
      <c r="F11" s="87" t="s">
        <v>22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73"/>
      <c r="R11" s="8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73"/>
      <c r="AD11" s="8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86"/>
      <c r="AQ11" s="77"/>
      <c r="AR11" s="55"/>
      <c r="AS11" s="55"/>
      <c r="AT11" s="55"/>
      <c r="AU11" s="55"/>
      <c r="AV11" s="55"/>
      <c r="AW11" s="55"/>
    </row>
    <row r="12" spans="1:49" ht="24" customHeight="1" x14ac:dyDescent="0.3">
      <c r="A12" s="56" t="s">
        <v>23</v>
      </c>
      <c r="B12" s="57" t="s">
        <v>24</v>
      </c>
      <c r="C12" s="55"/>
      <c r="D12" s="55"/>
      <c r="E12" s="73"/>
      <c r="F12" s="58" t="s">
        <v>24</v>
      </c>
      <c r="G12" s="58"/>
      <c r="H12" s="55"/>
      <c r="I12" s="55"/>
      <c r="J12" s="55"/>
      <c r="K12" s="55"/>
      <c r="L12" s="55"/>
      <c r="M12" s="55"/>
      <c r="N12" s="55"/>
      <c r="O12" s="55"/>
      <c r="P12" s="55"/>
      <c r="Q12" s="73"/>
      <c r="R12" s="8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73"/>
      <c r="AD12" s="8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86"/>
      <c r="AQ12" s="77"/>
      <c r="AR12" s="55"/>
      <c r="AS12" s="55"/>
      <c r="AT12" s="55"/>
      <c r="AU12" s="55"/>
      <c r="AV12" s="55"/>
      <c r="AW12" s="55"/>
    </row>
    <row r="13" spans="1:49" ht="19.95" customHeight="1" x14ac:dyDescent="0.3">
      <c r="A13" s="46" t="s">
        <v>25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</row>
    <row r="14" spans="1:49" ht="24" customHeight="1" x14ac:dyDescent="0.3">
      <c r="A14" s="52" t="s">
        <v>26</v>
      </c>
      <c r="B14" s="53" t="s">
        <v>16</v>
      </c>
      <c r="C14" s="55"/>
      <c r="D14" s="55"/>
      <c r="E14" s="73"/>
      <c r="F14" s="85"/>
      <c r="G14" s="59"/>
      <c r="H14" s="59"/>
      <c r="I14" s="59"/>
      <c r="J14" s="59"/>
      <c r="K14" s="55"/>
      <c r="L14" s="55"/>
      <c r="M14" s="55"/>
      <c r="N14" s="55"/>
      <c r="O14" s="55"/>
      <c r="P14" s="55"/>
      <c r="Q14" s="73"/>
      <c r="R14" s="8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73"/>
      <c r="AD14" s="8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86"/>
      <c r="AQ14" s="77"/>
      <c r="AR14" s="55"/>
      <c r="AS14" s="55"/>
      <c r="AT14" s="55"/>
      <c r="AU14" s="55"/>
      <c r="AV14" s="55"/>
      <c r="AW14" s="55"/>
    </row>
    <row r="15" spans="1:49" ht="24" customHeight="1" x14ac:dyDescent="0.3">
      <c r="A15" s="52" t="s">
        <v>27</v>
      </c>
      <c r="B15" s="60" t="s">
        <v>28</v>
      </c>
      <c r="C15" s="55"/>
      <c r="D15" s="55"/>
      <c r="E15" s="73"/>
      <c r="F15" s="85"/>
      <c r="G15" s="55"/>
      <c r="H15" s="61" t="s">
        <v>28</v>
      </c>
      <c r="I15" s="54"/>
      <c r="J15" s="54"/>
      <c r="K15" s="54"/>
      <c r="L15" s="54"/>
      <c r="M15" s="54"/>
      <c r="N15" s="55"/>
      <c r="O15" s="55"/>
      <c r="P15" s="55"/>
      <c r="Q15" s="73"/>
      <c r="R15" s="8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73"/>
      <c r="AD15" s="8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86"/>
      <c r="AQ15" s="77"/>
      <c r="AR15" s="55"/>
      <c r="AS15" s="55"/>
      <c r="AT15" s="55"/>
      <c r="AU15" s="55"/>
      <c r="AV15" s="55"/>
      <c r="AW15" s="55"/>
    </row>
    <row r="16" spans="1:49" ht="24" customHeight="1" x14ac:dyDescent="0.3">
      <c r="A16" s="56" t="s">
        <v>29</v>
      </c>
      <c r="B16" s="57" t="s">
        <v>30</v>
      </c>
      <c r="C16" s="55"/>
      <c r="D16" s="55"/>
      <c r="E16" s="73"/>
      <c r="F16" s="85"/>
      <c r="G16" s="55"/>
      <c r="H16" s="55"/>
      <c r="I16" s="55"/>
      <c r="J16" s="55"/>
      <c r="K16" s="58" t="s">
        <v>30</v>
      </c>
      <c r="L16" s="55"/>
      <c r="M16" s="55"/>
      <c r="N16" s="55"/>
      <c r="O16" s="55"/>
      <c r="P16" s="55"/>
      <c r="Q16" s="73"/>
      <c r="R16" s="8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73"/>
      <c r="AD16" s="8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86"/>
      <c r="AQ16" s="77"/>
      <c r="AR16" s="55"/>
      <c r="AS16" s="55"/>
      <c r="AT16" s="55"/>
      <c r="AU16" s="55"/>
      <c r="AV16" s="55"/>
      <c r="AW16" s="55"/>
    </row>
    <row r="17" spans="1:49" ht="24" customHeight="1" x14ac:dyDescent="0.3">
      <c r="A17" s="56" t="s">
        <v>31</v>
      </c>
      <c r="B17" s="57" t="s">
        <v>32</v>
      </c>
      <c r="C17" s="55"/>
      <c r="D17" s="55"/>
      <c r="E17" s="73"/>
      <c r="F17" s="85"/>
      <c r="G17" s="55"/>
      <c r="H17" s="55"/>
      <c r="I17" s="55"/>
      <c r="J17" s="55"/>
      <c r="K17" s="58" t="s">
        <v>32</v>
      </c>
      <c r="L17" s="55"/>
      <c r="M17" s="55"/>
      <c r="N17" s="55"/>
      <c r="O17" s="55"/>
      <c r="P17" s="55"/>
      <c r="Q17" s="73"/>
      <c r="R17" s="8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73"/>
      <c r="AD17" s="8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86"/>
      <c r="AQ17" s="77"/>
      <c r="AR17" s="55"/>
      <c r="AS17" s="55"/>
      <c r="AT17" s="55"/>
      <c r="AU17" s="55"/>
      <c r="AV17" s="55"/>
      <c r="AW17" s="55"/>
    </row>
    <row r="18" spans="1:49" ht="24" customHeight="1" x14ac:dyDescent="0.3">
      <c r="A18" s="56" t="s">
        <v>33</v>
      </c>
      <c r="B18" s="57" t="s">
        <v>34</v>
      </c>
      <c r="C18" s="55"/>
      <c r="D18" s="55"/>
      <c r="E18" s="73"/>
      <c r="F18" s="85"/>
      <c r="G18" s="55"/>
      <c r="H18" s="55"/>
      <c r="I18" s="55"/>
      <c r="J18" s="55"/>
      <c r="K18" s="55"/>
      <c r="L18" s="58" t="s">
        <v>34</v>
      </c>
      <c r="M18" s="62"/>
      <c r="N18" s="55"/>
      <c r="O18" s="55"/>
      <c r="P18" s="55"/>
      <c r="Q18" s="73"/>
      <c r="R18" s="8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73"/>
      <c r="AD18" s="8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86"/>
      <c r="AQ18" s="77"/>
      <c r="AR18" s="55"/>
      <c r="AS18" s="55"/>
      <c r="AT18" s="55"/>
      <c r="AU18" s="55"/>
      <c r="AV18" s="55"/>
      <c r="AW18" s="55"/>
    </row>
    <row r="19" spans="1:49" ht="24" customHeight="1" x14ac:dyDescent="0.3">
      <c r="A19" s="56" t="s">
        <v>35</v>
      </c>
      <c r="B19" s="57" t="s">
        <v>36</v>
      </c>
      <c r="C19" s="55"/>
      <c r="D19" s="55"/>
      <c r="E19" s="73"/>
      <c r="F19" s="85"/>
      <c r="G19" s="55"/>
      <c r="H19" s="55"/>
      <c r="I19" s="55"/>
      <c r="J19" s="55"/>
      <c r="K19" s="55"/>
      <c r="L19" s="55"/>
      <c r="M19" s="55"/>
      <c r="N19" s="58" t="s">
        <v>36</v>
      </c>
      <c r="O19" s="55"/>
      <c r="P19" s="55"/>
      <c r="Q19" s="73"/>
      <c r="R19" s="8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73"/>
      <c r="AD19" s="8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86"/>
      <c r="AQ19" s="77"/>
      <c r="AR19" s="55"/>
      <c r="AS19" s="55"/>
      <c r="AT19" s="55"/>
      <c r="AU19" s="55"/>
      <c r="AV19" s="55"/>
      <c r="AW19" s="55"/>
    </row>
    <row r="20" spans="1:49" ht="19.95" customHeight="1" x14ac:dyDescent="0.3">
      <c r="A20" s="46" t="s">
        <v>37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</row>
    <row r="21" spans="1:49" ht="24" customHeight="1" x14ac:dyDescent="0.3">
      <c r="A21" s="52" t="s">
        <v>38</v>
      </c>
      <c r="B21" s="53" t="s">
        <v>16</v>
      </c>
      <c r="C21" s="55"/>
      <c r="D21" s="55"/>
      <c r="E21" s="73"/>
      <c r="F21" s="85"/>
      <c r="G21" s="55"/>
      <c r="H21" s="55"/>
      <c r="I21" s="55"/>
      <c r="J21" s="55"/>
      <c r="K21" s="55"/>
      <c r="L21" s="55"/>
      <c r="M21" s="55"/>
      <c r="N21" s="63"/>
      <c r="O21" s="63"/>
      <c r="P21" s="63"/>
      <c r="Q21" s="94"/>
      <c r="R21" s="96"/>
      <c r="S21" s="63"/>
      <c r="T21" s="55"/>
      <c r="U21" s="55"/>
      <c r="V21" s="55"/>
      <c r="W21" s="55"/>
      <c r="X21" s="55"/>
      <c r="Y21" s="55"/>
      <c r="Z21" s="55"/>
      <c r="AA21" s="55"/>
      <c r="AB21" s="55"/>
      <c r="AC21" s="73"/>
      <c r="AD21" s="8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86"/>
      <c r="AQ21" s="77"/>
      <c r="AR21" s="55"/>
      <c r="AS21" s="55"/>
      <c r="AT21" s="55"/>
      <c r="AU21" s="55"/>
      <c r="AV21" s="55"/>
      <c r="AW21" s="55"/>
    </row>
    <row r="22" spans="1:49" ht="31.2" x14ac:dyDescent="0.3">
      <c r="A22" s="52" t="s">
        <v>508</v>
      </c>
      <c r="B22" s="60" t="s">
        <v>39</v>
      </c>
      <c r="C22" s="55"/>
      <c r="D22" s="55"/>
      <c r="E22" s="73"/>
      <c r="F22" s="85"/>
      <c r="G22" s="55"/>
      <c r="H22" s="55"/>
      <c r="I22" s="55"/>
      <c r="J22" s="55"/>
      <c r="K22" s="55"/>
      <c r="L22" s="55"/>
      <c r="M22" s="55"/>
      <c r="N22" s="64" t="s">
        <v>39</v>
      </c>
      <c r="O22" s="63"/>
      <c r="P22" s="63"/>
      <c r="Q22" s="94"/>
      <c r="R22" s="96"/>
      <c r="S22" s="63"/>
      <c r="T22" s="55"/>
      <c r="U22" s="55"/>
      <c r="V22" s="55"/>
      <c r="W22" s="55"/>
      <c r="X22" s="55"/>
      <c r="Y22" s="55"/>
      <c r="Z22" s="55"/>
      <c r="AA22" s="55"/>
      <c r="AB22" s="55"/>
      <c r="AC22" s="73"/>
      <c r="AD22" s="8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86"/>
      <c r="AQ22" s="77"/>
      <c r="AR22" s="55"/>
      <c r="AS22" s="55"/>
      <c r="AT22" s="55"/>
      <c r="AU22" s="55"/>
      <c r="AV22" s="55"/>
      <c r="AW22" s="55"/>
    </row>
    <row r="23" spans="1:49" ht="31.2" x14ac:dyDescent="0.3">
      <c r="A23" s="52" t="s">
        <v>40</v>
      </c>
      <c r="B23" s="53" t="s">
        <v>16</v>
      </c>
      <c r="C23" s="55"/>
      <c r="D23" s="55"/>
      <c r="E23" s="73"/>
      <c r="F23" s="85"/>
      <c r="G23" s="55"/>
      <c r="H23" s="55"/>
      <c r="I23" s="55"/>
      <c r="J23" s="55"/>
      <c r="K23" s="55"/>
      <c r="L23" s="55"/>
      <c r="M23" s="55"/>
      <c r="N23" s="54"/>
      <c r="O23" s="54"/>
      <c r="P23" s="54"/>
      <c r="Q23" s="74"/>
      <c r="R23" s="97"/>
      <c r="S23" s="54"/>
      <c r="T23" s="55"/>
      <c r="U23" s="55"/>
      <c r="V23" s="55"/>
      <c r="W23" s="55"/>
      <c r="X23" s="55"/>
      <c r="Y23" s="55"/>
      <c r="Z23" s="55"/>
      <c r="AA23" s="55"/>
      <c r="AB23" s="55"/>
      <c r="AC23" s="73"/>
      <c r="AD23" s="8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86"/>
      <c r="AQ23" s="77"/>
      <c r="AR23" s="55"/>
      <c r="AS23" s="55"/>
      <c r="AT23" s="55"/>
      <c r="AU23" s="55"/>
      <c r="AV23" s="55"/>
      <c r="AW23" s="55"/>
    </row>
    <row r="24" spans="1:49" ht="31.2" x14ac:dyDescent="0.3">
      <c r="A24" s="52" t="s">
        <v>41</v>
      </c>
      <c r="B24" s="53" t="s">
        <v>16</v>
      </c>
      <c r="C24" s="55"/>
      <c r="D24" s="55"/>
      <c r="E24" s="73"/>
      <c r="F24" s="85"/>
      <c r="G24" s="55"/>
      <c r="H24" s="55"/>
      <c r="I24" s="55"/>
      <c r="J24" s="55"/>
      <c r="K24" s="55"/>
      <c r="L24" s="55"/>
      <c r="M24" s="55"/>
      <c r="N24" s="63"/>
      <c r="O24" s="63"/>
      <c r="P24" s="63"/>
      <c r="Q24" s="94"/>
      <c r="R24" s="96"/>
      <c r="S24" s="63"/>
      <c r="T24" s="55"/>
      <c r="U24" s="55"/>
      <c r="V24" s="55"/>
      <c r="W24" s="55"/>
      <c r="X24" s="55"/>
      <c r="Y24" s="55"/>
      <c r="Z24" s="55"/>
      <c r="AA24" s="55"/>
      <c r="AB24" s="55"/>
      <c r="AC24" s="73"/>
      <c r="AD24" s="8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86"/>
      <c r="AQ24" s="77"/>
      <c r="AR24" s="55"/>
      <c r="AS24" s="55"/>
      <c r="AT24" s="55"/>
      <c r="AU24" s="55"/>
      <c r="AV24" s="55"/>
      <c r="AW24" s="55"/>
    </row>
    <row r="25" spans="1:49" ht="24" customHeight="1" x14ac:dyDescent="0.3">
      <c r="A25" s="52" t="s">
        <v>42</v>
      </c>
      <c r="B25" s="53" t="s">
        <v>16</v>
      </c>
      <c r="C25" s="55"/>
      <c r="D25" s="55"/>
      <c r="E25" s="73"/>
      <c r="F25" s="8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73"/>
      <c r="R25" s="85"/>
      <c r="S25" s="55"/>
      <c r="T25" s="54"/>
      <c r="U25" s="54"/>
      <c r="V25" s="54"/>
      <c r="W25" s="54"/>
      <c r="X25" s="54"/>
      <c r="Y25" s="54"/>
      <c r="Z25" s="55"/>
      <c r="AA25" s="55"/>
      <c r="AB25" s="55"/>
      <c r="AC25" s="73"/>
      <c r="AD25" s="8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86"/>
      <c r="AQ25" s="77"/>
      <c r="AR25" s="55"/>
      <c r="AS25" s="55"/>
      <c r="AT25" s="55"/>
      <c r="AU25" s="55"/>
      <c r="AV25" s="55"/>
      <c r="AW25" s="55"/>
    </row>
    <row r="26" spans="1:49" ht="24" customHeight="1" x14ac:dyDescent="0.3">
      <c r="A26" s="52" t="s">
        <v>43</v>
      </c>
      <c r="B26" s="60" t="s">
        <v>44</v>
      </c>
      <c r="C26" s="55"/>
      <c r="D26" s="55"/>
      <c r="E26" s="73"/>
      <c r="F26" s="8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73"/>
      <c r="R26" s="85"/>
      <c r="S26" s="55"/>
      <c r="T26" s="61" t="s">
        <v>44</v>
      </c>
      <c r="U26" s="54"/>
      <c r="V26" s="54"/>
      <c r="W26" s="54"/>
      <c r="X26" s="54"/>
      <c r="Y26" s="54"/>
      <c r="Z26" s="55"/>
      <c r="AA26" s="55"/>
      <c r="AB26" s="55"/>
      <c r="AC26" s="73"/>
      <c r="AD26" s="8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86"/>
      <c r="AQ26" s="77"/>
      <c r="AR26" s="55"/>
      <c r="AS26" s="55"/>
      <c r="AT26" s="55"/>
      <c r="AU26" s="55"/>
      <c r="AV26" s="55"/>
      <c r="AW26" s="55"/>
    </row>
    <row r="27" spans="1:49" ht="19.95" customHeight="1" x14ac:dyDescent="0.3">
      <c r="A27" s="46" t="s">
        <v>507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</row>
    <row r="28" spans="1:49" ht="31.2" x14ac:dyDescent="0.3">
      <c r="A28" s="52" t="s">
        <v>45</v>
      </c>
      <c r="B28" s="53" t="s">
        <v>16</v>
      </c>
      <c r="C28" s="55"/>
      <c r="D28" s="55"/>
      <c r="E28" s="73"/>
      <c r="F28" s="8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73"/>
      <c r="R28" s="85"/>
      <c r="S28" s="55"/>
      <c r="T28" s="55"/>
      <c r="U28" s="55"/>
      <c r="V28" s="55"/>
      <c r="W28" s="55"/>
      <c r="X28" s="55"/>
      <c r="Y28" s="55"/>
      <c r="Z28" s="65"/>
      <c r="AA28" s="65"/>
      <c r="AB28" s="65"/>
      <c r="AC28" s="99"/>
      <c r="AD28" s="102"/>
      <c r="AE28" s="6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86"/>
      <c r="AQ28" s="77"/>
      <c r="AR28" s="55"/>
      <c r="AS28" s="55"/>
      <c r="AT28" s="55"/>
      <c r="AU28" s="55"/>
      <c r="AV28" s="55"/>
      <c r="AW28" s="55"/>
    </row>
    <row r="29" spans="1:49" ht="24" customHeight="1" x14ac:dyDescent="0.3">
      <c r="A29" s="52" t="s">
        <v>46</v>
      </c>
      <c r="B29" s="53" t="s">
        <v>16</v>
      </c>
      <c r="C29" s="55"/>
      <c r="D29" s="55"/>
      <c r="E29" s="73"/>
      <c r="F29" s="8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73"/>
      <c r="R29" s="85"/>
      <c r="S29" s="55"/>
      <c r="T29" s="55"/>
      <c r="U29" s="55"/>
      <c r="V29" s="55"/>
      <c r="W29" s="55"/>
      <c r="X29" s="55"/>
      <c r="Y29" s="55"/>
      <c r="Z29" s="65"/>
      <c r="AA29" s="65"/>
      <c r="AB29" s="65"/>
      <c r="AC29" s="99"/>
      <c r="AD29" s="102"/>
      <c r="AE29" s="6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86"/>
      <c r="AQ29" s="77"/>
      <c r="AR29" s="55"/>
      <c r="AS29" s="55"/>
      <c r="AT29" s="55"/>
      <c r="AU29" s="55"/>
      <c r="AV29" s="55"/>
      <c r="AW29" s="55"/>
    </row>
    <row r="30" spans="1:49" ht="24" customHeight="1" x14ac:dyDescent="0.3">
      <c r="A30" s="56" t="s">
        <v>47</v>
      </c>
      <c r="B30" s="57" t="s">
        <v>48</v>
      </c>
      <c r="C30" s="55"/>
      <c r="D30" s="55"/>
      <c r="E30" s="73"/>
      <c r="F30" s="8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73"/>
      <c r="R30" s="85"/>
      <c r="S30" s="55"/>
      <c r="T30" s="58" t="s">
        <v>48</v>
      </c>
      <c r="U30" s="62"/>
      <c r="V30" s="62"/>
      <c r="W30" s="62"/>
      <c r="X30" s="62"/>
      <c r="Y30" s="62"/>
      <c r="Z30" s="62"/>
      <c r="AA30" s="62"/>
      <c r="AB30" s="62"/>
      <c r="AC30" s="100"/>
      <c r="AD30" s="103"/>
      <c r="AE30" s="62"/>
      <c r="AF30" s="62"/>
      <c r="AG30" s="62"/>
      <c r="AH30" s="62"/>
      <c r="AI30" s="62"/>
      <c r="AJ30" s="62"/>
      <c r="AK30" s="62"/>
      <c r="AL30" s="62"/>
      <c r="AM30" s="55"/>
      <c r="AN30" s="55"/>
      <c r="AO30" s="55"/>
      <c r="AP30" s="86"/>
      <c r="AQ30" s="77"/>
      <c r="AR30" s="55"/>
      <c r="AS30" s="55"/>
      <c r="AT30" s="55"/>
      <c r="AU30" s="55"/>
      <c r="AV30" s="55"/>
      <c r="AW30" s="55"/>
    </row>
    <row r="31" spans="1:49" ht="24" customHeight="1" x14ac:dyDescent="0.3">
      <c r="A31" s="52" t="s">
        <v>49</v>
      </c>
      <c r="B31" s="60" t="s">
        <v>50</v>
      </c>
      <c r="C31" s="55"/>
      <c r="D31" s="55"/>
      <c r="E31" s="73"/>
      <c r="F31" s="8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73"/>
      <c r="R31" s="8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73"/>
      <c r="AD31" s="85"/>
      <c r="AE31" s="55"/>
      <c r="AF31" s="66" t="s">
        <v>50</v>
      </c>
      <c r="AG31" s="65"/>
      <c r="AH31" s="65"/>
      <c r="AI31" s="65"/>
      <c r="AJ31" s="65"/>
      <c r="AK31" s="65"/>
      <c r="AL31" s="55"/>
      <c r="AM31" s="55"/>
      <c r="AN31" s="55"/>
      <c r="AO31" s="55"/>
      <c r="AP31" s="86"/>
      <c r="AQ31" s="77"/>
      <c r="AR31" s="55"/>
      <c r="AS31" s="55"/>
      <c r="AT31" s="55"/>
      <c r="AU31" s="55"/>
      <c r="AV31" s="55"/>
      <c r="AW31" s="55"/>
    </row>
    <row r="32" spans="1:49" ht="24" customHeight="1" x14ac:dyDescent="0.3">
      <c r="A32" s="52" t="s">
        <v>51</v>
      </c>
      <c r="B32" s="53" t="s">
        <v>16</v>
      </c>
      <c r="C32" s="55"/>
      <c r="D32" s="55"/>
      <c r="E32" s="73"/>
      <c r="F32" s="8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73"/>
      <c r="R32" s="8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73"/>
      <c r="AD32" s="85"/>
      <c r="AE32" s="55"/>
      <c r="AF32" s="65"/>
      <c r="AG32" s="65"/>
      <c r="AH32" s="65"/>
      <c r="AI32" s="65"/>
      <c r="AJ32" s="65"/>
      <c r="AK32" s="65"/>
      <c r="AL32" s="55"/>
      <c r="AM32" s="55"/>
      <c r="AN32" s="55"/>
      <c r="AO32" s="55"/>
      <c r="AP32" s="86"/>
      <c r="AQ32" s="77"/>
      <c r="AR32" s="55"/>
      <c r="AS32" s="55"/>
      <c r="AT32" s="55"/>
      <c r="AU32" s="55"/>
      <c r="AV32" s="55"/>
      <c r="AW32" s="55"/>
    </row>
    <row r="33" spans="1:49" ht="24" customHeight="1" x14ac:dyDescent="0.3">
      <c r="A33" s="52" t="s">
        <v>52</v>
      </c>
      <c r="B33" s="53" t="s">
        <v>16</v>
      </c>
      <c r="C33" s="55"/>
      <c r="D33" s="55"/>
      <c r="E33" s="73"/>
      <c r="F33" s="8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73"/>
      <c r="R33" s="8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73"/>
      <c r="AD33" s="85"/>
      <c r="AE33" s="55"/>
      <c r="AF33" s="65"/>
      <c r="AG33" s="65"/>
      <c r="AH33" s="65"/>
      <c r="AI33" s="65"/>
      <c r="AJ33" s="65"/>
      <c r="AK33" s="65"/>
      <c r="AL33" s="55"/>
      <c r="AM33" s="55"/>
      <c r="AN33" s="55"/>
      <c r="AO33" s="55"/>
      <c r="AP33" s="86"/>
      <c r="AQ33" s="77"/>
      <c r="AR33" s="55"/>
      <c r="AS33" s="55"/>
      <c r="AT33" s="55"/>
      <c r="AU33" s="55"/>
      <c r="AV33" s="55"/>
      <c r="AW33" s="55"/>
    </row>
    <row r="34" spans="1:49" ht="19.95" customHeight="1" x14ac:dyDescent="0.3">
      <c r="A34" s="46" t="s">
        <v>53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</row>
    <row r="35" spans="1:49" ht="24" customHeight="1" x14ac:dyDescent="0.3">
      <c r="A35" s="52" t="s">
        <v>54</v>
      </c>
      <c r="B35" s="60" t="s">
        <v>55</v>
      </c>
      <c r="C35" s="55"/>
      <c r="D35" s="55"/>
      <c r="E35" s="73"/>
      <c r="F35" s="8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73"/>
      <c r="R35" s="8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73"/>
      <c r="AD35" s="85"/>
      <c r="AE35" s="55"/>
      <c r="AF35" s="55"/>
      <c r="AG35" s="55"/>
      <c r="AH35" s="55"/>
      <c r="AI35" s="55"/>
      <c r="AJ35" s="55"/>
      <c r="AK35" s="55"/>
      <c r="AL35" s="67" t="s">
        <v>55</v>
      </c>
      <c r="AM35" s="59"/>
      <c r="AN35" s="59"/>
      <c r="AO35" s="59"/>
      <c r="AP35" s="104"/>
      <c r="AQ35" s="101"/>
      <c r="AR35" s="55"/>
      <c r="AS35" s="55"/>
      <c r="AT35" s="55"/>
      <c r="AU35" s="55"/>
      <c r="AV35" s="55"/>
      <c r="AW35" s="55"/>
    </row>
    <row r="36" spans="1:49" ht="24" customHeight="1" x14ac:dyDescent="0.3">
      <c r="A36" s="52" t="s">
        <v>56</v>
      </c>
      <c r="B36" s="53" t="s">
        <v>16</v>
      </c>
      <c r="C36" s="55"/>
      <c r="D36" s="55"/>
      <c r="E36" s="73"/>
      <c r="F36" s="8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73"/>
      <c r="R36" s="8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73"/>
      <c r="AD36" s="85"/>
      <c r="AE36" s="55"/>
      <c r="AF36" s="55"/>
      <c r="AG36" s="55"/>
      <c r="AH36" s="55"/>
      <c r="AI36" s="55"/>
      <c r="AJ36" s="55"/>
      <c r="AK36" s="55"/>
      <c r="AL36" s="59"/>
      <c r="AM36" s="59"/>
      <c r="AN36" s="59"/>
      <c r="AO36" s="59"/>
      <c r="AP36" s="104"/>
      <c r="AQ36" s="101"/>
      <c r="AR36" s="55"/>
      <c r="AS36" s="55"/>
      <c r="AT36" s="55"/>
      <c r="AU36" s="55"/>
      <c r="AV36" s="55"/>
      <c r="AW36" s="55"/>
    </row>
    <row r="37" spans="1:49" ht="24" customHeight="1" x14ac:dyDescent="0.3">
      <c r="A37" s="56" t="s">
        <v>57</v>
      </c>
      <c r="B37" s="57" t="s">
        <v>58</v>
      </c>
      <c r="C37" s="55"/>
      <c r="D37" s="55"/>
      <c r="E37" s="73"/>
      <c r="F37" s="8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73"/>
      <c r="R37" s="8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73"/>
      <c r="AD37" s="8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86"/>
      <c r="AQ37" s="77"/>
      <c r="AR37" s="58" t="s">
        <v>58</v>
      </c>
      <c r="AS37" s="55"/>
      <c r="AT37" s="55"/>
      <c r="AU37" s="55"/>
      <c r="AV37" s="55"/>
      <c r="AW37" s="55"/>
    </row>
    <row r="38" spans="1:49" ht="24" customHeight="1" x14ac:dyDescent="0.3">
      <c r="A38" s="56" t="s">
        <v>59</v>
      </c>
      <c r="B38" s="57" t="s">
        <v>60</v>
      </c>
      <c r="C38" s="55"/>
      <c r="D38" s="55"/>
      <c r="E38" s="73"/>
      <c r="F38" s="8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73"/>
      <c r="R38" s="8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73"/>
      <c r="AD38" s="8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86"/>
      <c r="AQ38" s="77"/>
      <c r="AR38" s="58" t="s">
        <v>60</v>
      </c>
      <c r="AS38" s="62"/>
      <c r="AT38" s="62"/>
      <c r="AU38" s="62"/>
      <c r="AV38" s="62"/>
      <c r="AW38" s="62"/>
    </row>
    <row r="39" spans="1:49" ht="24" customHeight="1" x14ac:dyDescent="0.3">
      <c r="A39" s="56" t="s">
        <v>61</v>
      </c>
      <c r="B39" s="57" t="s">
        <v>62</v>
      </c>
      <c r="C39" s="55"/>
      <c r="D39" s="55"/>
      <c r="E39" s="73"/>
      <c r="F39" s="8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73"/>
      <c r="R39" s="8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73"/>
      <c r="AD39" s="8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86"/>
      <c r="AQ39" s="77"/>
      <c r="AR39" s="55"/>
      <c r="AS39" s="55"/>
      <c r="AT39" s="55"/>
      <c r="AU39" s="55"/>
      <c r="AV39" s="58" t="s">
        <v>62</v>
      </c>
      <c r="AW39" s="62"/>
    </row>
    <row r="40" spans="1:49" ht="24" customHeight="1" x14ac:dyDescent="0.3">
      <c r="A40" s="56" t="s">
        <v>63</v>
      </c>
      <c r="B40" s="57" t="s">
        <v>64</v>
      </c>
      <c r="C40" s="55"/>
      <c r="D40" s="55"/>
      <c r="E40" s="73"/>
      <c r="F40" s="8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73"/>
      <c r="R40" s="8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73"/>
      <c r="AD40" s="8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86"/>
      <c r="AQ40" s="77"/>
      <c r="AR40" s="55"/>
      <c r="AS40" s="55"/>
      <c r="AT40" s="55"/>
      <c r="AU40" s="55"/>
      <c r="AV40" s="55"/>
      <c r="AW40" s="58" t="s">
        <v>64</v>
      </c>
    </row>
    <row r="41" spans="1:49" ht="19.95" customHeight="1" x14ac:dyDescent="0.3">
      <c r="A41" s="46" t="s">
        <v>65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</row>
    <row r="42" spans="1:49" ht="24" customHeight="1" x14ac:dyDescent="0.3">
      <c r="A42" s="52" t="s">
        <v>66</v>
      </c>
      <c r="B42" s="53" t="s">
        <v>16</v>
      </c>
      <c r="C42" s="68"/>
      <c r="D42" s="68"/>
      <c r="E42" s="75"/>
      <c r="F42" s="8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75"/>
      <c r="R42" s="8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75"/>
      <c r="AD42" s="8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89"/>
      <c r="AQ42" s="78"/>
      <c r="AR42" s="68"/>
      <c r="AS42" s="68"/>
      <c r="AT42" s="68"/>
      <c r="AU42" s="68"/>
      <c r="AV42" s="68"/>
      <c r="AW42" s="68"/>
    </row>
    <row r="43" spans="1:49" ht="24" customHeight="1" x14ac:dyDescent="0.3">
      <c r="A43" s="52" t="s">
        <v>67</v>
      </c>
      <c r="B43" s="53" t="s">
        <v>16</v>
      </c>
      <c r="C43" s="55"/>
      <c r="D43" s="55"/>
      <c r="E43" s="73"/>
      <c r="F43" s="85"/>
      <c r="G43" s="55"/>
      <c r="H43" s="68"/>
      <c r="I43" s="68"/>
      <c r="J43" s="68"/>
      <c r="K43" s="68"/>
      <c r="L43" s="68"/>
      <c r="M43" s="68"/>
      <c r="N43" s="68"/>
      <c r="O43" s="68"/>
      <c r="P43" s="68"/>
      <c r="Q43" s="75"/>
      <c r="R43" s="8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75"/>
      <c r="AD43" s="8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89"/>
      <c r="AQ43" s="78"/>
      <c r="AR43" s="68"/>
      <c r="AS43" s="68"/>
      <c r="AT43" s="68"/>
      <c r="AU43" s="68"/>
      <c r="AV43" s="68"/>
      <c r="AW43" s="68"/>
    </row>
    <row r="44" spans="1:49" ht="24" customHeight="1" x14ac:dyDescent="0.3">
      <c r="A44" s="52" t="s">
        <v>68</v>
      </c>
      <c r="B44" s="53" t="s">
        <v>16</v>
      </c>
      <c r="C44" s="55"/>
      <c r="D44" s="55"/>
      <c r="E44" s="73"/>
      <c r="F44" s="85"/>
      <c r="G44" s="55"/>
      <c r="H44" s="55"/>
      <c r="I44" s="55"/>
      <c r="J44" s="55"/>
      <c r="K44" s="55"/>
      <c r="L44" s="55"/>
      <c r="M44" s="55"/>
      <c r="N44" s="68"/>
      <c r="O44" s="68"/>
      <c r="P44" s="68"/>
      <c r="Q44" s="75"/>
      <c r="R44" s="8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75"/>
      <c r="AD44" s="8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89"/>
      <c r="AQ44" s="78"/>
      <c r="AR44" s="68"/>
      <c r="AS44" s="55"/>
      <c r="AT44" s="55"/>
      <c r="AU44" s="55"/>
      <c r="AV44" s="55"/>
      <c r="AW44" s="55"/>
    </row>
    <row r="45" spans="1:49" ht="19.95" customHeight="1" x14ac:dyDescent="0.3">
      <c r="A45" s="46" t="s">
        <v>69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</row>
    <row r="46" spans="1:49" ht="24" customHeight="1" x14ac:dyDescent="0.3">
      <c r="A46" s="52" t="s">
        <v>70</v>
      </c>
      <c r="B46" s="69" t="s">
        <v>71</v>
      </c>
      <c r="C46" s="55"/>
      <c r="D46" s="55"/>
      <c r="E46" s="73"/>
      <c r="F46" s="85"/>
      <c r="G46" s="55"/>
      <c r="H46" s="70" t="s">
        <v>71</v>
      </c>
      <c r="I46" s="71"/>
      <c r="J46" s="71"/>
      <c r="K46" s="71"/>
      <c r="L46" s="71"/>
      <c r="M46" s="71"/>
      <c r="N46" s="71"/>
      <c r="O46" s="71"/>
      <c r="P46" s="71"/>
      <c r="Q46" s="95"/>
      <c r="R46" s="98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95"/>
      <c r="AD46" s="98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90"/>
      <c r="AQ46" s="79"/>
      <c r="AR46" s="71"/>
      <c r="AS46" s="71"/>
      <c r="AT46" s="71"/>
      <c r="AU46" s="71"/>
      <c r="AV46" s="71"/>
      <c r="AW46" s="71"/>
    </row>
  </sheetData>
  <mergeCells count="16">
    <mergeCell ref="B2:B3"/>
    <mergeCell ref="A2:A3"/>
    <mergeCell ref="A41:AW41"/>
    <mergeCell ref="AP2:AW2"/>
    <mergeCell ref="F2:Q2"/>
    <mergeCell ref="A13:AW13"/>
    <mergeCell ref="C2:E2"/>
    <mergeCell ref="A1:AW1"/>
    <mergeCell ref="A45:AW45"/>
    <mergeCell ref="A27:AW27"/>
    <mergeCell ref="A34:AW34"/>
    <mergeCell ref="A4:AW4"/>
    <mergeCell ref="AD2:AO2"/>
    <mergeCell ref="R2:AC2"/>
    <mergeCell ref="A10:AW10"/>
    <mergeCell ref="A20:AW20"/>
  </mergeCells>
  <pageMargins left="0.2" right="0.2" top="0.35" bottom="0.35" header="0.5" footer="0.5"/>
  <pageSetup paperSize="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showGridLines="0" zoomScale="102" zoomScaleNormal="102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26" customWidth="1"/>
    <col min="3" max="3" width="23" customWidth="1"/>
    <col min="4" max="4" width="43.77734375" customWidth="1"/>
    <col min="5" max="5" width="18" customWidth="1"/>
    <col min="6" max="6" width="16" customWidth="1"/>
    <col min="7" max="8" width="48" customWidth="1"/>
    <col min="9" max="9" width="16" customWidth="1"/>
    <col min="10" max="10" width="24" customWidth="1"/>
  </cols>
  <sheetData>
    <row r="1" spans="1:10" ht="36" customHeight="1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s="5" customFormat="1" ht="28.5" customHeight="1" x14ac:dyDescent="0.3">
      <c r="A2" s="2">
        <v>1</v>
      </c>
      <c r="B2" s="2" t="s">
        <v>82</v>
      </c>
      <c r="C2" s="2" t="s">
        <v>83</v>
      </c>
      <c r="D2" s="2" t="s">
        <v>84</v>
      </c>
      <c r="E2" s="2">
        <v>2</v>
      </c>
      <c r="F2" s="2" t="s">
        <v>85</v>
      </c>
      <c r="G2" s="2" t="s">
        <v>86</v>
      </c>
      <c r="H2" s="2" t="s">
        <v>87</v>
      </c>
      <c r="I2" s="3" t="s">
        <v>16</v>
      </c>
      <c r="J2" s="4"/>
    </row>
    <row r="3" spans="1:10" s="5" customFormat="1" ht="28.5" customHeight="1" x14ac:dyDescent="0.3">
      <c r="A3" s="2">
        <v>2</v>
      </c>
      <c r="B3" s="2" t="s">
        <v>82</v>
      </c>
      <c r="C3" s="2" t="s">
        <v>88</v>
      </c>
      <c r="D3" s="2" t="s">
        <v>89</v>
      </c>
      <c r="E3" s="2">
        <v>5</v>
      </c>
      <c r="F3" s="2" t="s">
        <v>85</v>
      </c>
      <c r="G3" s="2" t="s">
        <v>90</v>
      </c>
      <c r="H3" s="2" t="s">
        <v>91</v>
      </c>
      <c r="I3" s="3" t="s">
        <v>16</v>
      </c>
      <c r="J3" s="4"/>
    </row>
    <row r="4" spans="1:10" s="5" customFormat="1" x14ac:dyDescent="0.3">
      <c r="A4" s="2">
        <v>3</v>
      </c>
      <c r="B4" s="2" t="s">
        <v>82</v>
      </c>
      <c r="C4" s="2" t="s">
        <v>88</v>
      </c>
      <c r="D4" s="2" t="s">
        <v>92</v>
      </c>
      <c r="E4" s="2">
        <v>3</v>
      </c>
      <c r="F4" s="2" t="s">
        <v>85</v>
      </c>
      <c r="G4" s="2" t="s">
        <v>93</v>
      </c>
      <c r="H4" s="2" t="s">
        <v>94</v>
      </c>
      <c r="I4" s="3" t="s">
        <v>16</v>
      </c>
      <c r="J4" s="4"/>
    </row>
    <row r="5" spans="1:10" s="5" customFormat="1" ht="28.5" customHeight="1" x14ac:dyDescent="0.3">
      <c r="A5" s="2">
        <v>4</v>
      </c>
      <c r="B5" s="2" t="s">
        <v>82</v>
      </c>
      <c r="C5" s="2" t="s">
        <v>95</v>
      </c>
      <c r="D5" s="2" t="s">
        <v>96</v>
      </c>
      <c r="E5" s="2">
        <v>4</v>
      </c>
      <c r="F5" s="2" t="s">
        <v>85</v>
      </c>
      <c r="G5" s="2" t="s">
        <v>97</v>
      </c>
      <c r="H5" s="2" t="s">
        <v>98</v>
      </c>
      <c r="I5" s="3" t="s">
        <v>16</v>
      </c>
      <c r="J5" s="4"/>
    </row>
    <row r="6" spans="1:10" s="5" customFormat="1" ht="28.5" customHeight="1" x14ac:dyDescent="0.3">
      <c r="A6" s="2">
        <v>5</v>
      </c>
      <c r="B6" s="2" t="s">
        <v>82</v>
      </c>
      <c r="C6" s="2" t="s">
        <v>99</v>
      </c>
      <c r="D6" s="2" t="s">
        <v>100</v>
      </c>
      <c r="E6" s="2">
        <v>6</v>
      </c>
      <c r="F6" s="2" t="s">
        <v>85</v>
      </c>
      <c r="G6" s="2" t="s">
        <v>101</v>
      </c>
      <c r="H6" s="2" t="s">
        <v>102</v>
      </c>
      <c r="I6" s="3" t="s">
        <v>16</v>
      </c>
      <c r="J6" s="4"/>
    </row>
    <row r="7" spans="1:10" s="5" customFormat="1" ht="28.5" customHeight="1" x14ac:dyDescent="0.3">
      <c r="A7" s="2">
        <v>6</v>
      </c>
      <c r="B7" s="2" t="s">
        <v>82</v>
      </c>
      <c r="C7" s="2" t="s">
        <v>103</v>
      </c>
      <c r="D7" s="2" t="s">
        <v>104</v>
      </c>
      <c r="E7" s="2">
        <v>3</v>
      </c>
      <c r="F7" s="2" t="s">
        <v>85</v>
      </c>
      <c r="G7" s="2" t="s">
        <v>105</v>
      </c>
      <c r="H7" s="2" t="s">
        <v>106</v>
      </c>
      <c r="I7" s="3" t="s">
        <v>16</v>
      </c>
      <c r="J7" s="4"/>
    </row>
    <row r="8" spans="1:10" s="5" customFormat="1" ht="28.5" customHeight="1" x14ac:dyDescent="0.3">
      <c r="A8" s="2">
        <v>7</v>
      </c>
      <c r="B8" s="2" t="s">
        <v>82</v>
      </c>
      <c r="C8" s="2" t="s">
        <v>107</v>
      </c>
      <c r="D8" s="2" t="s">
        <v>108</v>
      </c>
      <c r="E8" s="2">
        <v>2</v>
      </c>
      <c r="F8" s="2" t="s">
        <v>85</v>
      </c>
      <c r="G8" s="2" t="s">
        <v>109</v>
      </c>
      <c r="H8" s="2" t="s">
        <v>110</v>
      </c>
      <c r="I8" s="3" t="s">
        <v>16</v>
      </c>
      <c r="J8" s="4"/>
    </row>
    <row r="9" spans="1:10" s="9" customFormat="1" ht="28.5" customHeight="1" x14ac:dyDescent="0.3">
      <c r="A9" s="6">
        <v>8</v>
      </c>
      <c r="B9" s="6" t="s">
        <v>111</v>
      </c>
      <c r="C9" s="6" t="s">
        <v>112</v>
      </c>
      <c r="D9" s="6" t="s">
        <v>113</v>
      </c>
      <c r="E9" s="6">
        <v>3</v>
      </c>
      <c r="F9" s="6" t="s">
        <v>85</v>
      </c>
      <c r="G9" s="6" t="s">
        <v>114</v>
      </c>
      <c r="H9" s="6" t="s">
        <v>115</v>
      </c>
      <c r="I9" s="7" t="s">
        <v>16</v>
      </c>
      <c r="J9" s="8"/>
    </row>
    <row r="10" spans="1:10" s="9" customFormat="1" ht="28.5" customHeight="1" x14ac:dyDescent="0.3">
      <c r="A10" s="6">
        <v>9</v>
      </c>
      <c r="B10" s="6" t="s">
        <v>111</v>
      </c>
      <c r="C10" s="6" t="s">
        <v>112</v>
      </c>
      <c r="D10" s="6" t="s">
        <v>116</v>
      </c>
      <c r="E10" s="6">
        <v>4</v>
      </c>
      <c r="F10" s="6" t="s">
        <v>85</v>
      </c>
      <c r="G10" s="6" t="s">
        <v>117</v>
      </c>
      <c r="H10" s="6" t="s">
        <v>118</v>
      </c>
      <c r="I10" s="7" t="s">
        <v>16</v>
      </c>
      <c r="J10" s="8"/>
    </row>
    <row r="11" spans="1:10" s="9" customFormat="1" ht="28.5" customHeight="1" x14ac:dyDescent="0.3">
      <c r="A11" s="6">
        <v>10</v>
      </c>
      <c r="B11" s="6" t="s">
        <v>111</v>
      </c>
      <c r="C11" s="6" t="s">
        <v>112</v>
      </c>
      <c r="D11" s="6" t="s">
        <v>119</v>
      </c>
      <c r="E11" s="6">
        <v>8</v>
      </c>
      <c r="F11" s="6" t="s">
        <v>85</v>
      </c>
      <c r="G11" s="6" t="s">
        <v>120</v>
      </c>
      <c r="H11" s="6" t="s">
        <v>121</v>
      </c>
      <c r="I11" s="7" t="s">
        <v>16</v>
      </c>
      <c r="J11" s="8"/>
    </row>
    <row r="12" spans="1:10" s="9" customFormat="1" ht="28.5" customHeight="1" x14ac:dyDescent="0.3">
      <c r="A12" s="6">
        <v>11</v>
      </c>
      <c r="B12" s="6" t="s">
        <v>111</v>
      </c>
      <c r="C12" s="6" t="s">
        <v>122</v>
      </c>
      <c r="D12" s="6" t="s">
        <v>123</v>
      </c>
      <c r="E12" s="6">
        <v>3</v>
      </c>
      <c r="F12" s="6" t="s">
        <v>85</v>
      </c>
      <c r="G12" s="6" t="s">
        <v>124</v>
      </c>
      <c r="H12" s="6" t="s">
        <v>125</v>
      </c>
      <c r="I12" s="7" t="s">
        <v>16</v>
      </c>
      <c r="J12" s="8"/>
    </row>
    <row r="13" spans="1:10" s="9" customFormat="1" ht="28.5" customHeight="1" x14ac:dyDescent="0.3">
      <c r="A13" s="6">
        <v>12</v>
      </c>
      <c r="B13" s="6" t="s">
        <v>111</v>
      </c>
      <c r="C13" s="6" t="s">
        <v>122</v>
      </c>
      <c r="D13" s="6" t="s">
        <v>126</v>
      </c>
      <c r="E13" s="6">
        <v>5</v>
      </c>
      <c r="F13" s="6" t="s">
        <v>85</v>
      </c>
      <c r="G13" s="6" t="s">
        <v>127</v>
      </c>
      <c r="H13" s="6" t="s">
        <v>128</v>
      </c>
      <c r="I13" s="7" t="s">
        <v>16</v>
      </c>
      <c r="J13" s="8"/>
    </row>
    <row r="14" spans="1:10" s="9" customFormat="1" ht="28.5" customHeight="1" x14ac:dyDescent="0.3">
      <c r="A14" s="6">
        <v>13</v>
      </c>
      <c r="B14" s="6" t="s">
        <v>111</v>
      </c>
      <c r="C14" s="6" t="s">
        <v>129</v>
      </c>
      <c r="D14" s="6" t="s">
        <v>130</v>
      </c>
      <c r="E14" s="6">
        <v>4</v>
      </c>
      <c r="F14" s="6" t="s">
        <v>85</v>
      </c>
      <c r="G14" s="6" t="s">
        <v>131</v>
      </c>
      <c r="H14" s="6" t="s">
        <v>132</v>
      </c>
      <c r="I14" s="7" t="s">
        <v>16</v>
      </c>
      <c r="J14" s="8"/>
    </row>
    <row r="15" spans="1:10" s="9" customFormat="1" ht="28.5" customHeight="1" x14ac:dyDescent="0.3">
      <c r="A15" s="6">
        <v>14</v>
      </c>
      <c r="B15" s="6" t="s">
        <v>111</v>
      </c>
      <c r="C15" s="6" t="s">
        <v>107</v>
      </c>
      <c r="D15" s="6" t="s">
        <v>133</v>
      </c>
      <c r="E15" s="6">
        <v>5</v>
      </c>
      <c r="F15" s="6" t="s">
        <v>85</v>
      </c>
      <c r="G15" s="6" t="s">
        <v>134</v>
      </c>
      <c r="H15" s="6" t="s">
        <v>135</v>
      </c>
      <c r="I15" s="7" t="s">
        <v>16</v>
      </c>
      <c r="J15" s="8"/>
    </row>
    <row r="16" spans="1:10" s="13" customFormat="1" ht="28.5" customHeight="1" x14ac:dyDescent="0.3">
      <c r="A16" s="10">
        <v>15</v>
      </c>
      <c r="B16" s="10" t="s">
        <v>136</v>
      </c>
      <c r="C16" s="10" t="s">
        <v>137</v>
      </c>
      <c r="D16" s="10" t="s">
        <v>138</v>
      </c>
      <c r="E16" s="10">
        <v>4</v>
      </c>
      <c r="F16" s="10" t="s">
        <v>85</v>
      </c>
      <c r="G16" s="10" t="s">
        <v>139</v>
      </c>
      <c r="H16" s="10" t="s">
        <v>140</v>
      </c>
      <c r="I16" s="11" t="s">
        <v>16</v>
      </c>
      <c r="J16" s="12"/>
    </row>
    <row r="17" spans="1:10" s="13" customFormat="1" x14ac:dyDescent="0.3">
      <c r="A17" s="10">
        <v>16</v>
      </c>
      <c r="B17" s="10" t="s">
        <v>136</v>
      </c>
      <c r="C17" s="10" t="s">
        <v>137</v>
      </c>
      <c r="D17" s="10" t="s">
        <v>141</v>
      </c>
      <c r="E17" s="10">
        <v>5</v>
      </c>
      <c r="F17" s="10" t="s">
        <v>85</v>
      </c>
      <c r="G17" s="10" t="s">
        <v>142</v>
      </c>
      <c r="H17" s="10" t="s">
        <v>143</v>
      </c>
      <c r="I17" s="11" t="s">
        <v>16</v>
      </c>
      <c r="J17" s="12"/>
    </row>
    <row r="18" spans="1:10" s="13" customFormat="1" ht="28.5" customHeight="1" x14ac:dyDescent="0.3">
      <c r="A18" s="10">
        <v>17</v>
      </c>
      <c r="B18" s="10" t="s">
        <v>136</v>
      </c>
      <c r="C18" s="10" t="s">
        <v>144</v>
      </c>
      <c r="D18" s="10" t="s">
        <v>145</v>
      </c>
      <c r="E18" s="10">
        <v>6</v>
      </c>
      <c r="F18" s="10" t="s">
        <v>85</v>
      </c>
      <c r="G18" s="10" t="s">
        <v>146</v>
      </c>
      <c r="H18" s="10" t="s">
        <v>147</v>
      </c>
      <c r="I18" s="11" t="s">
        <v>16</v>
      </c>
      <c r="J18" s="12"/>
    </row>
    <row r="19" spans="1:10" s="13" customFormat="1" x14ac:dyDescent="0.3">
      <c r="A19" s="10">
        <v>18</v>
      </c>
      <c r="B19" s="10" t="s">
        <v>136</v>
      </c>
      <c r="C19" s="10" t="s">
        <v>148</v>
      </c>
      <c r="D19" s="10" t="s">
        <v>149</v>
      </c>
      <c r="E19" s="10">
        <v>5</v>
      </c>
      <c r="F19" s="10" t="s">
        <v>85</v>
      </c>
      <c r="G19" s="10" t="s">
        <v>150</v>
      </c>
      <c r="H19" s="10" t="s">
        <v>151</v>
      </c>
      <c r="I19" s="11" t="s">
        <v>16</v>
      </c>
      <c r="J19" s="12"/>
    </row>
    <row r="20" spans="1:10" s="13" customFormat="1" x14ac:dyDescent="0.3">
      <c r="A20" s="10">
        <v>19</v>
      </c>
      <c r="B20" s="10" t="s">
        <v>136</v>
      </c>
      <c r="C20" s="10" t="s">
        <v>152</v>
      </c>
      <c r="D20" s="10" t="s">
        <v>153</v>
      </c>
      <c r="E20" s="10">
        <v>4</v>
      </c>
      <c r="F20" s="10" t="s">
        <v>85</v>
      </c>
      <c r="G20" s="10" t="s">
        <v>154</v>
      </c>
      <c r="H20" s="10" t="s">
        <v>155</v>
      </c>
      <c r="I20" s="11" t="s">
        <v>16</v>
      </c>
      <c r="J20" s="12"/>
    </row>
    <row r="21" spans="1:10" s="13" customFormat="1" ht="28.5" customHeight="1" x14ac:dyDescent="0.3">
      <c r="A21" s="10">
        <v>20</v>
      </c>
      <c r="B21" s="10" t="s">
        <v>136</v>
      </c>
      <c r="C21" s="10" t="s">
        <v>107</v>
      </c>
      <c r="D21" s="10" t="s">
        <v>156</v>
      </c>
      <c r="E21" s="10">
        <v>6</v>
      </c>
      <c r="F21" s="10" t="s">
        <v>85</v>
      </c>
      <c r="G21" s="10" t="s">
        <v>157</v>
      </c>
      <c r="H21" s="10" t="s">
        <v>158</v>
      </c>
      <c r="I21" s="11" t="s">
        <v>16</v>
      </c>
      <c r="J21" s="12"/>
    </row>
    <row r="22" spans="1:10" s="13" customFormat="1" ht="28.5" customHeight="1" x14ac:dyDescent="0.3">
      <c r="A22" s="10">
        <v>21</v>
      </c>
      <c r="B22" s="10" t="s">
        <v>159</v>
      </c>
      <c r="C22" s="10" t="s">
        <v>160</v>
      </c>
      <c r="D22" s="10" t="s">
        <v>161</v>
      </c>
      <c r="E22" s="10">
        <v>1</v>
      </c>
      <c r="F22" s="10" t="s">
        <v>162</v>
      </c>
      <c r="G22" s="10" t="s">
        <v>163</v>
      </c>
      <c r="H22" s="10" t="s">
        <v>164</v>
      </c>
      <c r="I22" s="11" t="s">
        <v>16</v>
      </c>
      <c r="J22" s="12"/>
    </row>
    <row r="23" spans="1:10" s="13" customFormat="1" ht="28.8" customHeight="1" x14ac:dyDescent="0.3">
      <c r="A23" s="10">
        <v>22</v>
      </c>
      <c r="B23" s="10" t="s">
        <v>159</v>
      </c>
      <c r="C23" s="10" t="s">
        <v>165</v>
      </c>
      <c r="D23" s="10" t="s">
        <v>166</v>
      </c>
      <c r="E23" s="10">
        <v>1</v>
      </c>
      <c r="F23" s="10" t="s">
        <v>85</v>
      </c>
      <c r="G23" s="10" t="s">
        <v>167</v>
      </c>
      <c r="H23" s="10" t="s">
        <v>168</v>
      </c>
      <c r="I23" s="11" t="s">
        <v>16</v>
      </c>
      <c r="J23" s="12"/>
    </row>
    <row r="24" spans="1:10" ht="30.75" customHeight="1" x14ac:dyDescent="0.3">
      <c r="A24" s="14">
        <v>23</v>
      </c>
      <c r="B24" s="14" t="s">
        <v>169</v>
      </c>
      <c r="C24" s="14" t="s">
        <v>107</v>
      </c>
      <c r="D24" s="14" t="s">
        <v>170</v>
      </c>
      <c r="E24" s="14">
        <v>5</v>
      </c>
      <c r="F24" s="14" t="s">
        <v>85</v>
      </c>
      <c r="G24" s="14" t="s">
        <v>171</v>
      </c>
      <c r="H24" s="14" t="s">
        <v>172</v>
      </c>
      <c r="I24" s="14" t="s">
        <v>16</v>
      </c>
      <c r="J24" s="14"/>
    </row>
    <row r="25" spans="1:10" ht="46.5" customHeight="1" x14ac:dyDescent="0.3">
      <c r="A25" s="14">
        <v>24</v>
      </c>
      <c r="B25" s="14" t="s">
        <v>169</v>
      </c>
      <c r="C25" s="14" t="s">
        <v>173</v>
      </c>
      <c r="D25" s="15" t="s">
        <v>174</v>
      </c>
      <c r="E25" s="14">
        <v>2</v>
      </c>
      <c r="F25" s="14" t="s">
        <v>85</v>
      </c>
      <c r="G25" s="14" t="s">
        <v>175</v>
      </c>
      <c r="H25" s="14" t="s">
        <v>176</v>
      </c>
      <c r="I25" s="16" t="s">
        <v>177</v>
      </c>
      <c r="J25" s="16" t="s">
        <v>178</v>
      </c>
    </row>
    <row r="26" spans="1:10" ht="46.5" customHeight="1" x14ac:dyDescent="0.3">
      <c r="A26" s="14">
        <v>25</v>
      </c>
      <c r="B26" s="14" t="s">
        <v>169</v>
      </c>
      <c r="C26" s="14" t="s">
        <v>173</v>
      </c>
      <c r="D26" s="14" t="s">
        <v>179</v>
      </c>
      <c r="E26" s="14">
        <v>6</v>
      </c>
      <c r="F26" s="14" t="s">
        <v>85</v>
      </c>
      <c r="G26" s="14" t="s">
        <v>180</v>
      </c>
      <c r="H26" s="14" t="s">
        <v>181</v>
      </c>
      <c r="I26" s="14" t="s">
        <v>16</v>
      </c>
      <c r="J26" s="14"/>
    </row>
    <row r="27" spans="1:10" ht="46.5" customHeight="1" x14ac:dyDescent="0.3">
      <c r="A27" s="14">
        <v>26</v>
      </c>
      <c r="B27" s="14" t="s">
        <v>182</v>
      </c>
      <c r="C27" s="14" t="s">
        <v>173</v>
      </c>
      <c r="D27" s="14" t="s">
        <v>183</v>
      </c>
      <c r="E27" s="14">
        <v>4</v>
      </c>
      <c r="F27" s="14" t="s">
        <v>85</v>
      </c>
      <c r="G27" s="14" t="s">
        <v>184</v>
      </c>
      <c r="H27" s="14" t="s">
        <v>185</v>
      </c>
      <c r="I27" s="14" t="s">
        <v>16</v>
      </c>
      <c r="J27" s="14"/>
    </row>
    <row r="28" spans="1:10" ht="30.75" customHeight="1" x14ac:dyDescent="0.3">
      <c r="A28" s="14">
        <v>27</v>
      </c>
      <c r="B28" s="14" t="s">
        <v>186</v>
      </c>
      <c r="C28" s="14" t="s">
        <v>187</v>
      </c>
      <c r="D28" s="15" t="s">
        <v>188</v>
      </c>
      <c r="E28" s="14">
        <v>1</v>
      </c>
      <c r="F28" s="14" t="s">
        <v>85</v>
      </c>
      <c r="G28" s="14" t="s">
        <v>189</v>
      </c>
      <c r="H28" s="14" t="s">
        <v>190</v>
      </c>
      <c r="I28" s="16" t="s">
        <v>177</v>
      </c>
      <c r="J28" s="17">
        <f>'Key Deadlines'!E8</f>
        <v>46444</v>
      </c>
    </row>
    <row r="29" spans="1:10" ht="30.75" customHeight="1" x14ac:dyDescent="0.3">
      <c r="A29" s="14">
        <v>28</v>
      </c>
      <c r="B29" s="14" t="s">
        <v>191</v>
      </c>
      <c r="C29" s="14" t="s">
        <v>187</v>
      </c>
      <c r="D29" s="14" t="s">
        <v>192</v>
      </c>
      <c r="E29" s="14">
        <v>3</v>
      </c>
      <c r="F29" s="14" t="s">
        <v>85</v>
      </c>
      <c r="G29" s="14" t="s">
        <v>193</v>
      </c>
      <c r="H29" s="14" t="s">
        <v>194</v>
      </c>
      <c r="I29" s="14" t="s">
        <v>16</v>
      </c>
      <c r="J29" s="14"/>
    </row>
    <row r="30" spans="1:10" ht="46.5" customHeight="1" x14ac:dyDescent="0.3">
      <c r="A30" s="18">
        <v>29</v>
      </c>
      <c r="B30" s="18" t="s">
        <v>195</v>
      </c>
      <c r="C30" s="18" t="s">
        <v>196</v>
      </c>
      <c r="D30" s="19" t="s">
        <v>197</v>
      </c>
      <c r="E30" s="18">
        <v>3</v>
      </c>
      <c r="F30" s="18" t="s">
        <v>85</v>
      </c>
      <c r="G30" s="18" t="s">
        <v>198</v>
      </c>
      <c r="H30" s="18" t="s">
        <v>199</v>
      </c>
      <c r="I30" s="16" t="s">
        <v>177</v>
      </c>
      <c r="J30" s="17">
        <f>'Key Deadlines'!E9</f>
        <v>46625</v>
      </c>
    </row>
    <row r="31" spans="1:10" ht="46.5" customHeight="1" x14ac:dyDescent="0.3">
      <c r="A31" s="18">
        <v>30</v>
      </c>
      <c r="B31" s="18" t="s">
        <v>200</v>
      </c>
      <c r="C31" s="18" t="s">
        <v>196</v>
      </c>
      <c r="D31" s="18" t="s">
        <v>201</v>
      </c>
      <c r="E31" s="18">
        <v>15</v>
      </c>
      <c r="F31" s="18" t="s">
        <v>85</v>
      </c>
      <c r="G31" s="18" t="s">
        <v>202</v>
      </c>
      <c r="H31" s="18" t="s">
        <v>203</v>
      </c>
      <c r="I31" s="18" t="s">
        <v>16</v>
      </c>
      <c r="J31" s="18"/>
    </row>
    <row r="32" spans="1:10" ht="46.5" customHeight="1" x14ac:dyDescent="0.3">
      <c r="A32" s="18">
        <v>31</v>
      </c>
      <c r="B32" s="18" t="s">
        <v>204</v>
      </c>
      <c r="C32" s="18" t="s">
        <v>107</v>
      </c>
      <c r="D32" s="18" t="s">
        <v>205</v>
      </c>
      <c r="E32" s="18">
        <v>10</v>
      </c>
      <c r="F32" s="18" t="s">
        <v>85</v>
      </c>
      <c r="G32" s="18" t="s">
        <v>206</v>
      </c>
      <c r="H32" s="18" t="s">
        <v>207</v>
      </c>
      <c r="I32" s="18" t="s">
        <v>16</v>
      </c>
      <c r="J32" s="18"/>
    </row>
    <row r="33" spans="1:10" ht="46.5" customHeight="1" x14ac:dyDescent="0.3">
      <c r="A33" s="18">
        <v>32</v>
      </c>
      <c r="B33" s="18" t="s">
        <v>208</v>
      </c>
      <c r="C33" s="18" t="s">
        <v>196</v>
      </c>
      <c r="D33" s="19" t="s">
        <v>209</v>
      </c>
      <c r="E33" s="18">
        <v>3</v>
      </c>
      <c r="F33" s="18" t="s">
        <v>85</v>
      </c>
      <c r="G33" s="18" t="s">
        <v>210</v>
      </c>
      <c r="H33" s="18" t="s">
        <v>211</v>
      </c>
      <c r="I33" s="16" t="s">
        <v>177</v>
      </c>
      <c r="J33" s="17">
        <f>'Key Deadlines'!E9</f>
        <v>46625</v>
      </c>
    </row>
    <row r="34" spans="1:10" ht="30.75" customHeight="1" x14ac:dyDescent="0.3">
      <c r="A34" s="18">
        <v>33</v>
      </c>
      <c r="B34" s="18" t="s">
        <v>212</v>
      </c>
      <c r="C34" s="18" t="s">
        <v>196</v>
      </c>
      <c r="D34" s="19" t="s">
        <v>31</v>
      </c>
      <c r="E34" s="18">
        <v>2</v>
      </c>
      <c r="F34" s="18" t="s">
        <v>85</v>
      </c>
      <c r="G34" s="18" t="s">
        <v>213</v>
      </c>
      <c r="H34" s="18" t="s">
        <v>214</v>
      </c>
      <c r="I34" s="16" t="s">
        <v>177</v>
      </c>
      <c r="J34" s="16" t="s">
        <v>215</v>
      </c>
    </row>
    <row r="35" spans="1:10" ht="46.5" customHeight="1" x14ac:dyDescent="0.3">
      <c r="A35" s="18">
        <v>34</v>
      </c>
      <c r="B35" s="18" t="s">
        <v>216</v>
      </c>
      <c r="C35" s="18" t="s">
        <v>217</v>
      </c>
      <c r="D35" s="19" t="s">
        <v>218</v>
      </c>
      <c r="E35" s="18">
        <v>4</v>
      </c>
      <c r="F35" s="18" t="s">
        <v>85</v>
      </c>
      <c r="G35" s="18" t="s">
        <v>219</v>
      </c>
      <c r="H35" s="18" t="s">
        <v>220</v>
      </c>
      <c r="I35" s="16" t="s">
        <v>177</v>
      </c>
      <c r="J35" s="17">
        <f>'Key Deadlines'!E10</f>
        <v>46686</v>
      </c>
    </row>
    <row r="36" spans="1:10" ht="30.75" customHeight="1" x14ac:dyDescent="0.3">
      <c r="A36" s="18">
        <v>35</v>
      </c>
      <c r="B36" s="18" t="s">
        <v>221</v>
      </c>
      <c r="C36" s="18" t="s">
        <v>217</v>
      </c>
      <c r="D36" s="19" t="s">
        <v>222</v>
      </c>
      <c r="E36" s="18">
        <v>1</v>
      </c>
      <c r="F36" s="18" t="s">
        <v>85</v>
      </c>
      <c r="G36" s="18" t="s">
        <v>223</v>
      </c>
      <c r="H36" s="18" t="s">
        <v>224</v>
      </c>
      <c r="I36" s="16" t="s">
        <v>177</v>
      </c>
      <c r="J36" s="17">
        <f>'Key Deadlines'!E11</f>
        <v>46700</v>
      </c>
    </row>
    <row r="37" spans="1:10" ht="30.75" customHeight="1" x14ac:dyDescent="0.3">
      <c r="A37" s="20">
        <v>36</v>
      </c>
      <c r="B37" s="20" t="s">
        <v>225</v>
      </c>
      <c r="C37" s="20" t="s">
        <v>226</v>
      </c>
      <c r="D37" s="21" t="s">
        <v>227</v>
      </c>
      <c r="E37" s="20">
        <v>24</v>
      </c>
      <c r="F37" s="20" t="s">
        <v>85</v>
      </c>
      <c r="G37" s="20" t="s">
        <v>228</v>
      </c>
      <c r="H37" s="20" t="s">
        <v>229</v>
      </c>
      <c r="I37" s="16" t="s">
        <v>177</v>
      </c>
      <c r="J37" s="17">
        <f>'Key Deadlines'!E21</f>
        <v>46809</v>
      </c>
    </row>
    <row r="38" spans="1:10" ht="46.5" customHeight="1" x14ac:dyDescent="0.3">
      <c r="A38" s="20">
        <v>37</v>
      </c>
      <c r="B38" s="20" t="s">
        <v>225</v>
      </c>
      <c r="C38" s="20" t="s">
        <v>230</v>
      </c>
      <c r="D38" s="21" t="s">
        <v>231</v>
      </c>
      <c r="E38" s="20">
        <v>10</v>
      </c>
      <c r="F38" s="20" t="s">
        <v>85</v>
      </c>
      <c r="G38" s="20" t="s">
        <v>232</v>
      </c>
      <c r="H38" s="20" t="s">
        <v>233</v>
      </c>
      <c r="I38" s="16" t="s">
        <v>177</v>
      </c>
      <c r="J38" s="17">
        <f>'Key Deadlines'!E22</f>
        <v>46809</v>
      </c>
    </row>
    <row r="39" spans="1:10" ht="61.5" customHeight="1" x14ac:dyDescent="0.3">
      <c r="A39" s="20">
        <v>38</v>
      </c>
      <c r="B39" s="20" t="s">
        <v>225</v>
      </c>
      <c r="C39" s="20" t="s">
        <v>234</v>
      </c>
      <c r="D39" s="20" t="s">
        <v>235</v>
      </c>
      <c r="E39" s="20">
        <v>40</v>
      </c>
      <c r="F39" s="20" t="s">
        <v>85</v>
      </c>
      <c r="G39" s="20" t="s">
        <v>236</v>
      </c>
      <c r="H39" s="20" t="s">
        <v>237</v>
      </c>
      <c r="I39" s="20" t="s">
        <v>16</v>
      </c>
      <c r="J39" s="20"/>
    </row>
    <row r="40" spans="1:10" ht="61.5" customHeight="1" x14ac:dyDescent="0.3">
      <c r="A40" s="20">
        <v>39</v>
      </c>
      <c r="B40" s="20" t="s">
        <v>225</v>
      </c>
      <c r="C40" s="20" t="s">
        <v>238</v>
      </c>
      <c r="D40" s="20" t="s">
        <v>239</v>
      </c>
      <c r="E40" s="20">
        <v>20</v>
      </c>
      <c r="F40" s="20" t="s">
        <v>85</v>
      </c>
      <c r="G40" s="20" t="s">
        <v>240</v>
      </c>
      <c r="H40" s="20" t="s">
        <v>241</v>
      </c>
      <c r="I40" s="20" t="s">
        <v>16</v>
      </c>
      <c r="J40" s="20"/>
    </row>
    <row r="41" spans="1:10" ht="30.75" customHeight="1" x14ac:dyDescent="0.3">
      <c r="A41" s="20">
        <v>40</v>
      </c>
      <c r="B41" s="20" t="s">
        <v>225</v>
      </c>
      <c r="C41" s="20" t="s">
        <v>107</v>
      </c>
      <c r="D41" s="20" t="s">
        <v>242</v>
      </c>
      <c r="E41" s="20">
        <v>10</v>
      </c>
      <c r="F41" s="20" t="s">
        <v>85</v>
      </c>
      <c r="G41" s="20" t="s">
        <v>243</v>
      </c>
      <c r="H41" s="20" t="s">
        <v>244</v>
      </c>
      <c r="I41" s="20" t="s">
        <v>16</v>
      </c>
      <c r="J41" s="20"/>
    </row>
    <row r="42" spans="1:10" ht="46.5" customHeight="1" x14ac:dyDescent="0.3">
      <c r="A42" s="20">
        <v>41</v>
      </c>
      <c r="B42" s="20" t="s">
        <v>245</v>
      </c>
      <c r="C42" s="20" t="s">
        <v>246</v>
      </c>
      <c r="D42" s="21" t="s">
        <v>247</v>
      </c>
      <c r="E42" s="20">
        <v>12</v>
      </c>
      <c r="F42" s="20" t="s">
        <v>85</v>
      </c>
      <c r="G42" s="20" t="s">
        <v>248</v>
      </c>
      <c r="H42" s="20" t="s">
        <v>249</v>
      </c>
      <c r="I42" s="16" t="s">
        <v>177</v>
      </c>
      <c r="J42" s="17">
        <f>'Key Deadlines'!E15</f>
        <v>47431</v>
      </c>
    </row>
    <row r="43" spans="1:10" ht="30.75" customHeight="1" x14ac:dyDescent="0.3">
      <c r="A43" s="20">
        <v>42</v>
      </c>
      <c r="B43" s="20" t="s">
        <v>250</v>
      </c>
      <c r="C43" s="20" t="s">
        <v>238</v>
      </c>
      <c r="D43" s="20" t="s">
        <v>251</v>
      </c>
      <c r="E43" s="20">
        <v>60</v>
      </c>
      <c r="F43" s="20" t="s">
        <v>85</v>
      </c>
      <c r="G43" s="20" t="s">
        <v>252</v>
      </c>
      <c r="H43" s="20" t="s">
        <v>253</v>
      </c>
      <c r="I43" s="20" t="s">
        <v>16</v>
      </c>
      <c r="J43" s="20"/>
    </row>
    <row r="44" spans="1:10" ht="46.5" customHeight="1" x14ac:dyDescent="0.3">
      <c r="A44" s="20">
        <v>43</v>
      </c>
      <c r="B44" s="20" t="s">
        <v>250</v>
      </c>
      <c r="C44" s="20" t="s">
        <v>254</v>
      </c>
      <c r="D44" s="20" t="s">
        <v>255</v>
      </c>
      <c r="E44" s="20">
        <v>25</v>
      </c>
      <c r="F44" s="20" t="s">
        <v>85</v>
      </c>
      <c r="G44" s="20" t="s">
        <v>256</v>
      </c>
      <c r="H44" s="20" t="s">
        <v>257</v>
      </c>
      <c r="I44" s="20" t="s">
        <v>16</v>
      </c>
      <c r="J44" s="20"/>
    </row>
    <row r="45" spans="1:10" ht="30.75" customHeight="1" x14ac:dyDescent="0.3">
      <c r="A45" s="20">
        <v>44</v>
      </c>
      <c r="B45" s="20" t="s">
        <v>250</v>
      </c>
      <c r="C45" s="20" t="s">
        <v>258</v>
      </c>
      <c r="D45" s="20" t="s">
        <v>259</v>
      </c>
      <c r="E45" s="20">
        <v>5</v>
      </c>
      <c r="F45" s="20" t="s">
        <v>85</v>
      </c>
      <c r="G45" s="20" t="s">
        <v>260</v>
      </c>
      <c r="H45" s="20" t="s">
        <v>261</v>
      </c>
      <c r="I45" s="20" t="s">
        <v>16</v>
      </c>
      <c r="J45" s="20"/>
    </row>
    <row r="46" spans="1:10" ht="30.75" customHeight="1" x14ac:dyDescent="0.3">
      <c r="A46" s="22">
        <v>45</v>
      </c>
      <c r="B46" s="22" t="s">
        <v>262</v>
      </c>
      <c r="C46" s="22" t="s">
        <v>238</v>
      </c>
      <c r="D46" s="22" t="s">
        <v>263</v>
      </c>
      <c r="E46" s="22">
        <v>40</v>
      </c>
      <c r="F46" s="22" t="s">
        <v>85</v>
      </c>
      <c r="G46" s="22" t="s">
        <v>264</v>
      </c>
      <c r="H46" s="22" t="s">
        <v>265</v>
      </c>
      <c r="I46" s="22" t="s">
        <v>16</v>
      </c>
      <c r="J46" s="22"/>
    </row>
    <row r="47" spans="1:10" ht="30.75" customHeight="1" x14ac:dyDescent="0.3">
      <c r="A47" s="22">
        <v>46</v>
      </c>
      <c r="B47" s="22" t="s">
        <v>262</v>
      </c>
      <c r="C47" s="22" t="s">
        <v>238</v>
      </c>
      <c r="D47" s="22" t="s">
        <v>266</v>
      </c>
      <c r="E47" s="22">
        <v>20</v>
      </c>
      <c r="F47" s="22" t="s">
        <v>85</v>
      </c>
      <c r="G47" s="22" t="s">
        <v>267</v>
      </c>
      <c r="H47" s="22" t="s">
        <v>268</v>
      </c>
      <c r="I47" s="22" t="s">
        <v>16</v>
      </c>
      <c r="J47" s="22"/>
    </row>
    <row r="48" spans="1:10" ht="46.5" customHeight="1" x14ac:dyDescent="0.3">
      <c r="A48" s="22">
        <v>47</v>
      </c>
      <c r="B48" s="22" t="s">
        <v>262</v>
      </c>
      <c r="C48" s="22" t="s">
        <v>112</v>
      </c>
      <c r="D48" s="22" t="s">
        <v>269</v>
      </c>
      <c r="E48" s="22">
        <v>30</v>
      </c>
      <c r="F48" s="22" t="s">
        <v>85</v>
      </c>
      <c r="G48" s="22" t="s">
        <v>270</v>
      </c>
      <c r="H48" s="22" t="s">
        <v>271</v>
      </c>
      <c r="I48" s="22" t="s">
        <v>16</v>
      </c>
      <c r="J48" s="22"/>
    </row>
    <row r="49" spans="1:10" ht="46.5" customHeight="1" x14ac:dyDescent="0.3">
      <c r="A49" s="22">
        <v>48</v>
      </c>
      <c r="B49" s="22" t="s">
        <v>272</v>
      </c>
      <c r="C49" s="22" t="s">
        <v>238</v>
      </c>
      <c r="D49" s="22" t="s">
        <v>273</v>
      </c>
      <c r="E49" s="22">
        <v>40</v>
      </c>
      <c r="F49" s="22" t="s">
        <v>85</v>
      </c>
      <c r="G49" s="22" t="s">
        <v>274</v>
      </c>
      <c r="H49" s="22" t="s">
        <v>275</v>
      </c>
      <c r="I49" s="22" t="s">
        <v>16</v>
      </c>
      <c r="J49" s="22"/>
    </row>
    <row r="50" spans="1:10" ht="46.5" customHeight="1" x14ac:dyDescent="0.3">
      <c r="A50" s="22">
        <v>49</v>
      </c>
      <c r="B50" s="22" t="s">
        <v>272</v>
      </c>
      <c r="C50" s="22" t="s">
        <v>238</v>
      </c>
      <c r="D50" s="22" t="s">
        <v>276</v>
      </c>
      <c r="E50" s="22">
        <v>30</v>
      </c>
      <c r="F50" s="22" t="s">
        <v>85</v>
      </c>
      <c r="G50" s="22" t="s">
        <v>277</v>
      </c>
      <c r="H50" s="22" t="s">
        <v>278</v>
      </c>
      <c r="I50" s="22" t="s">
        <v>16</v>
      </c>
      <c r="J50" s="22"/>
    </row>
    <row r="51" spans="1:10" ht="30.75" customHeight="1" x14ac:dyDescent="0.3">
      <c r="A51" s="22">
        <v>50</v>
      </c>
      <c r="B51" s="22" t="s">
        <v>272</v>
      </c>
      <c r="C51" s="22" t="s">
        <v>258</v>
      </c>
      <c r="D51" s="22" t="s">
        <v>279</v>
      </c>
      <c r="E51" s="22">
        <v>5</v>
      </c>
      <c r="F51" s="22" t="s">
        <v>85</v>
      </c>
      <c r="G51" s="22" t="s">
        <v>260</v>
      </c>
      <c r="H51" s="22"/>
      <c r="I51" s="22" t="s">
        <v>16</v>
      </c>
      <c r="J51" s="22"/>
    </row>
    <row r="52" spans="1:10" ht="46.5" customHeight="1" x14ac:dyDescent="0.3">
      <c r="A52" s="23">
        <v>51</v>
      </c>
      <c r="B52" s="23" t="s">
        <v>280</v>
      </c>
      <c r="C52" s="23" t="s">
        <v>107</v>
      </c>
      <c r="D52" s="23" t="s">
        <v>281</v>
      </c>
      <c r="E52" s="23">
        <v>40</v>
      </c>
      <c r="F52" s="23" t="s">
        <v>85</v>
      </c>
      <c r="G52" s="23" t="s">
        <v>282</v>
      </c>
      <c r="H52" s="23" t="s">
        <v>283</v>
      </c>
      <c r="I52" s="23" t="s">
        <v>16</v>
      </c>
      <c r="J52" s="23"/>
    </row>
    <row r="53" spans="1:10" ht="30.75" customHeight="1" x14ac:dyDescent="0.3">
      <c r="A53" s="23">
        <v>52</v>
      </c>
      <c r="B53" s="23" t="s">
        <v>284</v>
      </c>
      <c r="C53" s="23" t="s">
        <v>285</v>
      </c>
      <c r="D53" s="23" t="s">
        <v>286</v>
      </c>
      <c r="E53" s="23">
        <v>60</v>
      </c>
      <c r="F53" s="23" t="s">
        <v>85</v>
      </c>
      <c r="G53" s="23" t="s">
        <v>287</v>
      </c>
      <c r="H53" s="23" t="s">
        <v>288</v>
      </c>
      <c r="I53" s="23" t="s">
        <v>16</v>
      </c>
      <c r="J53" s="23"/>
    </row>
    <row r="54" spans="1:10" ht="30.75" customHeight="1" x14ac:dyDescent="0.3">
      <c r="A54" s="23">
        <v>53</v>
      </c>
      <c r="B54" s="23" t="s">
        <v>280</v>
      </c>
      <c r="C54" s="23" t="s">
        <v>289</v>
      </c>
      <c r="D54" s="23" t="s">
        <v>290</v>
      </c>
      <c r="E54" s="23">
        <v>10</v>
      </c>
      <c r="F54" s="23" t="s">
        <v>85</v>
      </c>
      <c r="G54" s="23" t="s">
        <v>291</v>
      </c>
      <c r="H54" s="23" t="s">
        <v>292</v>
      </c>
      <c r="I54" s="23" t="s">
        <v>16</v>
      </c>
      <c r="J54" s="23"/>
    </row>
    <row r="55" spans="1:10" ht="46.5" customHeight="1" x14ac:dyDescent="0.3">
      <c r="A55" s="23">
        <v>54</v>
      </c>
      <c r="B55" s="23" t="s">
        <v>293</v>
      </c>
      <c r="C55" s="23" t="s">
        <v>294</v>
      </c>
      <c r="D55" s="24" t="s">
        <v>295</v>
      </c>
      <c r="E55" s="23">
        <v>2</v>
      </c>
      <c r="F55" s="23" t="s">
        <v>85</v>
      </c>
      <c r="G55" s="23" t="s">
        <v>296</v>
      </c>
      <c r="H55" s="23" t="s">
        <v>297</v>
      </c>
      <c r="I55" s="16" t="s">
        <v>177</v>
      </c>
      <c r="J55" s="17">
        <f>'Key Deadlines'!E16</f>
        <v>47612</v>
      </c>
    </row>
    <row r="56" spans="1:10" ht="46.5" customHeight="1" x14ac:dyDescent="0.3">
      <c r="A56" s="23">
        <v>55</v>
      </c>
      <c r="B56" s="23" t="s">
        <v>298</v>
      </c>
      <c r="C56" s="23" t="s">
        <v>254</v>
      </c>
      <c r="D56" s="24" t="s">
        <v>299</v>
      </c>
      <c r="E56" s="23">
        <v>0</v>
      </c>
      <c r="F56" s="23" t="s">
        <v>85</v>
      </c>
      <c r="G56" s="23" t="s">
        <v>300</v>
      </c>
      <c r="H56" s="23" t="s">
        <v>301</v>
      </c>
      <c r="I56" s="16" t="s">
        <v>177</v>
      </c>
      <c r="J56" s="17">
        <f>'Key Deadlines'!E25</f>
        <v>47796</v>
      </c>
    </row>
    <row r="57" spans="1:10" ht="30.75" customHeight="1" x14ac:dyDescent="0.3">
      <c r="A57" s="23">
        <v>56</v>
      </c>
      <c r="B57" s="23" t="s">
        <v>302</v>
      </c>
      <c r="C57" s="23" t="s">
        <v>294</v>
      </c>
      <c r="D57" s="24" t="s">
        <v>303</v>
      </c>
      <c r="E57" s="23">
        <v>10</v>
      </c>
      <c r="F57" s="23" t="s">
        <v>85</v>
      </c>
      <c r="G57" s="23" t="s">
        <v>304</v>
      </c>
      <c r="H57" s="23" t="s">
        <v>305</v>
      </c>
      <c r="I57" s="16" t="s">
        <v>177</v>
      </c>
      <c r="J57" s="17">
        <f>'Key Deadlines'!E17</f>
        <v>47796</v>
      </c>
    </row>
    <row r="58" spans="1:10" ht="30.75" customHeight="1" x14ac:dyDescent="0.3">
      <c r="A58" s="23">
        <v>57</v>
      </c>
      <c r="B58" s="23" t="s">
        <v>306</v>
      </c>
      <c r="C58" s="23" t="s">
        <v>258</v>
      </c>
      <c r="D58" s="24" t="s">
        <v>307</v>
      </c>
      <c r="E58" s="23">
        <v>0</v>
      </c>
      <c r="F58" s="23" t="s">
        <v>85</v>
      </c>
      <c r="G58" s="23" t="s">
        <v>308</v>
      </c>
      <c r="H58" s="23" t="s">
        <v>309</v>
      </c>
      <c r="I58" s="16" t="s">
        <v>177</v>
      </c>
      <c r="J58" s="17">
        <f>'Key Deadlines'!E26</f>
        <v>47803</v>
      </c>
    </row>
    <row r="59" spans="1:10" ht="30.75" customHeight="1" x14ac:dyDescent="0.3">
      <c r="A59" s="23">
        <v>58</v>
      </c>
      <c r="B59" s="23" t="s">
        <v>310</v>
      </c>
      <c r="C59" s="23" t="s">
        <v>294</v>
      </c>
      <c r="D59" s="24" t="s">
        <v>311</v>
      </c>
      <c r="E59" s="23">
        <v>5</v>
      </c>
      <c r="F59" s="23" t="s">
        <v>85</v>
      </c>
      <c r="G59" s="23" t="s">
        <v>312</v>
      </c>
      <c r="H59" s="23" t="s">
        <v>313</v>
      </c>
      <c r="I59" s="16" t="s">
        <v>177</v>
      </c>
      <c r="J59" s="17">
        <f>'Key Deadlines'!E27</f>
        <v>47803</v>
      </c>
    </row>
    <row r="60" spans="1:10" ht="46.5" customHeight="1" x14ac:dyDescent="0.3">
      <c r="A60" s="23">
        <v>59</v>
      </c>
      <c r="B60" s="23" t="s">
        <v>310</v>
      </c>
      <c r="C60" s="23" t="s">
        <v>294</v>
      </c>
      <c r="D60" s="24" t="s">
        <v>314</v>
      </c>
      <c r="E60" s="23">
        <v>3</v>
      </c>
      <c r="F60" s="23" t="s">
        <v>85</v>
      </c>
      <c r="G60" s="23" t="s">
        <v>315</v>
      </c>
      <c r="H60" s="23" t="s">
        <v>316</v>
      </c>
      <c r="I60" s="16" t="s">
        <v>177</v>
      </c>
      <c r="J60" s="17">
        <f>'Key Deadlines'!E18</f>
        <v>47803</v>
      </c>
    </row>
    <row r="61" spans="1:10" ht="30.75" customHeight="1" x14ac:dyDescent="0.3">
      <c r="A61" s="23">
        <v>60</v>
      </c>
      <c r="B61" s="23" t="s">
        <v>317</v>
      </c>
      <c r="C61" s="23" t="s">
        <v>294</v>
      </c>
      <c r="D61" s="23" t="s">
        <v>318</v>
      </c>
      <c r="E61" s="23">
        <v>0</v>
      </c>
      <c r="F61" s="23" t="s">
        <v>85</v>
      </c>
      <c r="G61" s="23" t="s">
        <v>319</v>
      </c>
      <c r="H61" s="23" t="s">
        <v>320</v>
      </c>
      <c r="I61" s="23" t="s">
        <v>16</v>
      </c>
      <c r="J61" s="23"/>
    </row>
    <row r="62" spans="1:10" ht="30.75" customHeight="1" x14ac:dyDescent="0.3">
      <c r="A62" s="25">
        <v>61</v>
      </c>
      <c r="B62" s="25" t="s">
        <v>321</v>
      </c>
      <c r="C62" s="25" t="s">
        <v>322</v>
      </c>
      <c r="D62" s="25" t="s">
        <v>323</v>
      </c>
      <c r="E62" s="25">
        <v>0</v>
      </c>
      <c r="F62" s="25" t="s">
        <v>324</v>
      </c>
      <c r="G62" s="25" t="s">
        <v>325</v>
      </c>
      <c r="H62" s="25" t="s">
        <v>326</v>
      </c>
      <c r="I62" s="25" t="s">
        <v>16</v>
      </c>
      <c r="J62" s="25"/>
    </row>
    <row r="63" spans="1:10" ht="30.75" customHeight="1" x14ac:dyDescent="0.3">
      <c r="A63" s="26">
        <v>62</v>
      </c>
      <c r="B63" s="26" t="s">
        <v>327</v>
      </c>
      <c r="C63" s="26" t="s">
        <v>165</v>
      </c>
      <c r="D63" s="27" t="s">
        <v>328</v>
      </c>
      <c r="E63" s="26">
        <v>1</v>
      </c>
      <c r="F63" s="26" t="s">
        <v>85</v>
      </c>
      <c r="G63" s="26" t="s">
        <v>329</v>
      </c>
      <c r="H63" s="26" t="s">
        <v>330</v>
      </c>
      <c r="I63" s="16" t="s">
        <v>177</v>
      </c>
      <c r="J63" s="16" t="s">
        <v>331</v>
      </c>
    </row>
  </sheetData>
  <autoFilter ref="A1:J63" xr:uid="{00000000-0009-0000-0000-000001000000}"/>
  <conditionalFormatting sqref="F2:F500">
    <cfRule type="expression" dxfId="2" priority="2">
      <formula>$F2="Complete"</formula>
    </cfRule>
    <cfRule type="expression" dxfId="1" priority="3">
      <formula>$F2="Blocked"</formula>
    </cfRule>
    <cfRule type="expression" dxfId="0" priority="4">
      <formula>$F2="In Progress"</formula>
    </cfRule>
  </conditionalFormatting>
  <dataValidations count="1">
    <dataValidation type="list" sqref="F2:F500" xr:uid="{00000000-0002-0000-0100-000000000000}">
      <formula1>"Not Started,In Progress,Blocked,On Hold,Complete"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zoomScaleNormal="100" workbookViewId="0">
      <pane ySplit="7" topLeftCell="A22" activePane="bottomLeft" state="frozen"/>
      <selection pane="bottomLeft" sqref="A1:F1"/>
    </sheetView>
  </sheetViews>
  <sheetFormatPr defaultColWidth="8.6640625" defaultRowHeight="14.4" x14ac:dyDescent="0.3"/>
  <cols>
    <col min="1" max="1" width="46" customWidth="1"/>
    <col min="2" max="2" width="30" customWidth="1"/>
    <col min="3" max="3" width="44" customWidth="1"/>
    <col min="4" max="5" width="15" customWidth="1"/>
    <col min="6" max="6" width="70" customWidth="1"/>
  </cols>
  <sheetData>
    <row r="1" spans="1:6" ht="23.25" customHeight="1" x14ac:dyDescent="0.3">
      <c r="A1" s="44" t="s">
        <v>332</v>
      </c>
      <c r="B1" s="43"/>
      <c r="C1" s="43"/>
      <c r="D1" s="43"/>
      <c r="E1" s="43"/>
      <c r="F1" s="43"/>
    </row>
    <row r="3" spans="1:6" ht="30.75" customHeight="1" x14ac:dyDescent="0.3">
      <c r="A3" s="28" t="s">
        <v>333</v>
      </c>
      <c r="B3" s="29">
        <v>46444</v>
      </c>
      <c r="C3" s="30" t="s">
        <v>334</v>
      </c>
    </row>
    <row r="4" spans="1:6" ht="30.75" customHeight="1" x14ac:dyDescent="0.3">
      <c r="A4" s="28" t="s">
        <v>335</v>
      </c>
      <c r="B4" s="31">
        <f>EDATE(B3,4)</f>
        <v>46564</v>
      </c>
    </row>
    <row r="5" spans="1:6" ht="30.75" customHeight="1" x14ac:dyDescent="0.3">
      <c r="A5" s="28" t="s">
        <v>336</v>
      </c>
      <c r="B5" s="31">
        <f>EDATE(B3,6)</f>
        <v>46625</v>
      </c>
    </row>
    <row r="7" spans="1:6" ht="28.5" customHeight="1" x14ac:dyDescent="0.3">
      <c r="A7" s="1" t="s">
        <v>337</v>
      </c>
      <c r="B7" s="1" t="s">
        <v>338</v>
      </c>
      <c r="C7" s="1" t="s">
        <v>339</v>
      </c>
      <c r="D7" s="1" t="s">
        <v>340</v>
      </c>
      <c r="E7" s="1" t="s">
        <v>341</v>
      </c>
      <c r="F7" s="1" t="s">
        <v>342</v>
      </c>
    </row>
    <row r="8" spans="1:6" ht="18" customHeight="1" x14ac:dyDescent="0.3">
      <c r="A8" s="28" t="s">
        <v>343</v>
      </c>
      <c r="B8" s="32" t="s">
        <v>344</v>
      </c>
      <c r="C8" s="32" t="s">
        <v>345</v>
      </c>
      <c r="D8" s="33">
        <f>B3</f>
        <v>46444</v>
      </c>
      <c r="E8" s="17">
        <f>B3</f>
        <v>46444</v>
      </c>
      <c r="F8" s="32" t="s">
        <v>346</v>
      </c>
    </row>
    <row r="9" spans="1:6" ht="30.75" customHeight="1" x14ac:dyDescent="0.3">
      <c r="A9" s="28" t="s">
        <v>347</v>
      </c>
      <c r="B9" s="32" t="s">
        <v>344</v>
      </c>
      <c r="C9" s="32" t="s">
        <v>348</v>
      </c>
      <c r="D9" s="33">
        <f>B4</f>
        <v>46564</v>
      </c>
      <c r="E9" s="17">
        <f>EDATE(B3,6)</f>
        <v>46625</v>
      </c>
      <c r="F9" s="32" t="s">
        <v>349</v>
      </c>
    </row>
    <row r="10" spans="1:6" ht="30.75" customHeight="1" x14ac:dyDescent="0.3">
      <c r="A10" s="28" t="s">
        <v>350</v>
      </c>
      <c r="B10" s="32" t="s">
        <v>351</v>
      </c>
      <c r="C10" s="32" t="s">
        <v>352</v>
      </c>
      <c r="D10" s="33">
        <f>B5</f>
        <v>46625</v>
      </c>
      <c r="E10" s="17">
        <f>EDATE(E9,2)</f>
        <v>46686</v>
      </c>
      <c r="F10" s="32" t="s">
        <v>353</v>
      </c>
    </row>
    <row r="11" spans="1:6" ht="18" customHeight="1" x14ac:dyDescent="0.3">
      <c r="A11" s="28" t="s">
        <v>354</v>
      </c>
      <c r="B11" s="32" t="s">
        <v>344</v>
      </c>
      <c r="C11" s="32" t="s">
        <v>355</v>
      </c>
      <c r="D11" s="33">
        <f>D10+14</f>
        <v>46639</v>
      </c>
      <c r="E11" s="17">
        <f>E10+14</f>
        <v>46700</v>
      </c>
      <c r="F11" s="32"/>
    </row>
    <row r="12" spans="1:6" ht="30.75" customHeight="1" x14ac:dyDescent="0.3">
      <c r="A12" s="28" t="s">
        <v>356</v>
      </c>
      <c r="B12" s="32" t="s">
        <v>357</v>
      </c>
      <c r="C12" s="32" t="s">
        <v>358</v>
      </c>
      <c r="D12" s="33">
        <f>EDATE($D$11,6)</f>
        <v>46821</v>
      </c>
      <c r="E12" s="17">
        <f>EDATE($E$11,6)</f>
        <v>46882</v>
      </c>
      <c r="F12" s="32" t="s">
        <v>359</v>
      </c>
    </row>
    <row r="13" spans="1:6" ht="30.75" customHeight="1" x14ac:dyDescent="0.3">
      <c r="A13" s="28" t="s">
        <v>360</v>
      </c>
      <c r="B13" s="32" t="s">
        <v>357</v>
      </c>
      <c r="C13" s="32" t="s">
        <v>361</v>
      </c>
      <c r="D13" s="33">
        <f>EDATE($D$11,12)</f>
        <v>47005</v>
      </c>
      <c r="E13" s="17">
        <f>EDATE($E$11,12)</f>
        <v>47066</v>
      </c>
      <c r="F13" s="32"/>
    </row>
    <row r="14" spans="1:6" ht="30.75" customHeight="1" x14ac:dyDescent="0.3">
      <c r="A14" s="28" t="s">
        <v>362</v>
      </c>
      <c r="B14" s="32" t="s">
        <v>357</v>
      </c>
      <c r="C14" s="32" t="s">
        <v>361</v>
      </c>
      <c r="D14" s="33">
        <f>EDATE($D$11,18)</f>
        <v>47186</v>
      </c>
      <c r="E14" s="17">
        <f>EDATE($E$11,18)</f>
        <v>47247</v>
      </c>
      <c r="F14" s="32"/>
    </row>
    <row r="15" spans="1:6" ht="30.75" customHeight="1" x14ac:dyDescent="0.3">
      <c r="A15" s="28" t="s">
        <v>363</v>
      </c>
      <c r="B15" s="32" t="s">
        <v>357</v>
      </c>
      <c r="C15" s="32" t="s">
        <v>364</v>
      </c>
      <c r="D15" s="33">
        <f>EDATE($D$11,24)</f>
        <v>47370</v>
      </c>
      <c r="E15" s="17">
        <f>EDATE($E$11,24)</f>
        <v>47431</v>
      </c>
      <c r="F15" s="32" t="s">
        <v>365</v>
      </c>
    </row>
    <row r="16" spans="1:6" ht="46.5" customHeight="1" x14ac:dyDescent="0.3">
      <c r="A16" s="28" t="s">
        <v>366</v>
      </c>
      <c r="B16" s="32" t="s">
        <v>367</v>
      </c>
      <c r="C16" s="32" t="s">
        <v>368</v>
      </c>
      <c r="D16" s="33">
        <f>EDATE($D$11,30)</f>
        <v>47551</v>
      </c>
      <c r="E16" s="34">
        <f>EDATE($E$11,30)</f>
        <v>47612</v>
      </c>
      <c r="F16" s="32" t="s">
        <v>369</v>
      </c>
    </row>
    <row r="17" spans="1:6" ht="30.75" customHeight="1" x14ac:dyDescent="0.3">
      <c r="A17" s="28" t="s">
        <v>370</v>
      </c>
      <c r="B17" s="32" t="s">
        <v>344</v>
      </c>
      <c r="C17" s="32" t="s">
        <v>371</v>
      </c>
      <c r="D17" s="33">
        <f>EDATE(D16,5)</f>
        <v>47704</v>
      </c>
      <c r="E17" s="17">
        <f>EDATE(E16,6)</f>
        <v>47796</v>
      </c>
      <c r="F17" s="32" t="s">
        <v>372</v>
      </c>
    </row>
    <row r="18" spans="1:6" ht="30.75" customHeight="1" x14ac:dyDescent="0.3">
      <c r="A18" s="28" t="s">
        <v>373</v>
      </c>
      <c r="B18" s="32" t="s">
        <v>374</v>
      </c>
      <c r="C18" s="32" t="s">
        <v>375</v>
      </c>
      <c r="D18" s="33">
        <f>MAX(D19,D17+7)</f>
        <v>47721</v>
      </c>
      <c r="E18" s="17">
        <f>E17+7</f>
        <v>47803</v>
      </c>
      <c r="F18" s="32" t="s">
        <v>376</v>
      </c>
    </row>
    <row r="19" spans="1:6" ht="30.75" customHeight="1" x14ac:dyDescent="0.3">
      <c r="A19" s="28" t="s">
        <v>377</v>
      </c>
      <c r="B19" s="32" t="s">
        <v>378</v>
      </c>
      <c r="C19" s="32" t="s">
        <v>379</v>
      </c>
      <c r="D19" s="33">
        <f>MAX(EDATE(D10,36),EDATE(B3,42))</f>
        <v>47721</v>
      </c>
      <c r="E19" s="17">
        <f>MAX(EDATE(D10,36),EDATE(B3,42))</f>
        <v>47721</v>
      </c>
      <c r="F19" s="32" t="s">
        <v>380</v>
      </c>
    </row>
    <row r="20" spans="1:6" ht="30.75" customHeight="1" x14ac:dyDescent="0.3">
      <c r="A20" s="28" t="s">
        <v>381</v>
      </c>
      <c r="B20" s="32" t="s">
        <v>378</v>
      </c>
      <c r="C20" s="32" t="s">
        <v>382</v>
      </c>
      <c r="D20" s="33"/>
      <c r="E20" s="17">
        <f>EDATE(D10,72)</f>
        <v>48817</v>
      </c>
      <c r="F20" s="32" t="s">
        <v>383</v>
      </c>
    </row>
    <row r="21" spans="1:6" ht="46.5" customHeight="1" x14ac:dyDescent="0.3">
      <c r="A21" s="28" t="s">
        <v>384</v>
      </c>
      <c r="B21" s="32" t="s">
        <v>385</v>
      </c>
      <c r="C21" s="32" t="s">
        <v>386</v>
      </c>
      <c r="D21" s="33">
        <f>EDATE(D10,5)</f>
        <v>46778</v>
      </c>
      <c r="E21" s="17">
        <f>EDATE(D10,6)</f>
        <v>46809</v>
      </c>
      <c r="F21" s="32" t="s">
        <v>387</v>
      </c>
    </row>
    <row r="22" spans="1:6" ht="30.75" customHeight="1" x14ac:dyDescent="0.3">
      <c r="A22" s="28" t="s">
        <v>388</v>
      </c>
      <c r="B22" s="32" t="s">
        <v>389</v>
      </c>
      <c r="C22" s="32" t="s">
        <v>390</v>
      </c>
      <c r="D22" s="33">
        <f>EDATE(D10,5)</f>
        <v>46778</v>
      </c>
      <c r="E22" s="17">
        <f>EDATE(D10,6)</f>
        <v>46809</v>
      </c>
      <c r="F22" s="32" t="s">
        <v>391</v>
      </c>
    </row>
    <row r="23" spans="1:6" ht="30.75" customHeight="1" x14ac:dyDescent="0.3">
      <c r="A23" s="28" t="s">
        <v>392</v>
      </c>
      <c r="B23" s="32" t="s">
        <v>393</v>
      </c>
      <c r="C23" s="32" t="s">
        <v>394</v>
      </c>
      <c r="D23" s="33"/>
      <c r="E23" s="33"/>
      <c r="F23" s="32" t="s">
        <v>395</v>
      </c>
    </row>
    <row r="24" spans="1:6" ht="30.75" customHeight="1" x14ac:dyDescent="0.3">
      <c r="A24" s="28" t="s">
        <v>396</v>
      </c>
      <c r="B24" s="32" t="s">
        <v>397</v>
      </c>
      <c r="C24" s="32" t="s">
        <v>398</v>
      </c>
      <c r="D24" s="33"/>
      <c r="E24" s="33"/>
      <c r="F24" s="32" t="s">
        <v>399</v>
      </c>
    </row>
    <row r="25" spans="1:6" ht="46.5" customHeight="1" x14ac:dyDescent="0.3">
      <c r="A25" s="28" t="s">
        <v>400</v>
      </c>
      <c r="B25" s="32" t="s">
        <v>401</v>
      </c>
      <c r="C25" s="32" t="s">
        <v>402</v>
      </c>
      <c r="D25" s="33">
        <f>D16</f>
        <v>47551</v>
      </c>
      <c r="E25" s="17">
        <f>E17</f>
        <v>47796</v>
      </c>
      <c r="F25" s="32" t="s">
        <v>403</v>
      </c>
    </row>
    <row r="26" spans="1:6" ht="30.75" customHeight="1" x14ac:dyDescent="0.3">
      <c r="A26" s="28" t="s">
        <v>404</v>
      </c>
      <c r="B26" s="32" t="s">
        <v>405</v>
      </c>
      <c r="C26" s="32" t="s">
        <v>406</v>
      </c>
      <c r="D26" s="33">
        <f>D17</f>
        <v>47704</v>
      </c>
      <c r="E26" s="17">
        <f>E18</f>
        <v>47803</v>
      </c>
      <c r="F26" s="32" t="s">
        <v>407</v>
      </c>
    </row>
    <row r="27" spans="1:6" ht="30.75" customHeight="1" x14ac:dyDescent="0.3">
      <c r="A27" s="28" t="s">
        <v>408</v>
      </c>
      <c r="B27" s="32" t="s">
        <v>409</v>
      </c>
      <c r="C27" s="32" t="s">
        <v>410</v>
      </c>
      <c r="D27" s="33">
        <f>D17</f>
        <v>47704</v>
      </c>
      <c r="E27" s="17">
        <f>E18</f>
        <v>47803</v>
      </c>
      <c r="F27" s="32" t="s">
        <v>411</v>
      </c>
    </row>
    <row r="28" spans="1:6" ht="46.5" customHeight="1" x14ac:dyDescent="0.3">
      <c r="A28" s="28" t="s">
        <v>412</v>
      </c>
      <c r="E28" s="35" t="str">
        <f>IF(E18&gt;=D19,"OK","CHECK")</f>
        <v>OK</v>
      </c>
      <c r="F28" s="32" t="s">
        <v>413</v>
      </c>
    </row>
    <row r="30" spans="1:6" x14ac:dyDescent="0.3">
      <c r="A30" s="30" t="s">
        <v>414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>
      <pane ySplit="3" topLeftCell="A8" activePane="bottomLeft" state="frozen"/>
      <selection pane="bottomLeft" sqref="A1:E1"/>
    </sheetView>
  </sheetViews>
  <sheetFormatPr defaultColWidth="8.6640625" defaultRowHeight="14.4" x14ac:dyDescent="0.3"/>
  <cols>
    <col min="1" max="1" width="20" customWidth="1"/>
    <col min="2" max="2" width="42" customWidth="1"/>
    <col min="3" max="3" width="58" customWidth="1"/>
    <col min="4" max="4" width="48" customWidth="1"/>
    <col min="5" max="5" width="46" customWidth="1"/>
  </cols>
  <sheetData>
    <row r="1" spans="1:5" ht="23.25" customHeight="1" x14ac:dyDescent="0.45">
      <c r="A1" s="45" t="s">
        <v>415</v>
      </c>
      <c r="B1" s="43"/>
      <c r="C1" s="43"/>
      <c r="D1" s="43"/>
      <c r="E1" s="43"/>
    </row>
    <row r="3" spans="1:5" x14ac:dyDescent="0.3">
      <c r="A3" s="36" t="s">
        <v>73</v>
      </c>
      <c r="B3" s="36" t="s">
        <v>416</v>
      </c>
      <c r="C3" s="36" t="s">
        <v>417</v>
      </c>
      <c r="D3" s="36" t="s">
        <v>418</v>
      </c>
      <c r="E3" s="36" t="s">
        <v>419</v>
      </c>
    </row>
    <row r="4" spans="1:5" ht="114.75" customHeight="1" x14ac:dyDescent="0.3">
      <c r="A4" s="37" t="s">
        <v>420</v>
      </c>
      <c r="B4" s="37" t="s">
        <v>421</v>
      </c>
      <c r="C4" s="37" t="s">
        <v>422</v>
      </c>
      <c r="D4" s="37" t="s">
        <v>423</v>
      </c>
      <c r="E4" s="37" t="s">
        <v>424</v>
      </c>
    </row>
    <row r="5" spans="1:5" ht="114.75" customHeight="1" x14ac:dyDescent="0.3">
      <c r="A5" s="37" t="s">
        <v>425</v>
      </c>
      <c r="B5" s="37" t="s">
        <v>426</v>
      </c>
      <c r="C5" s="37" t="s">
        <v>427</v>
      </c>
      <c r="D5" s="37" t="s">
        <v>428</v>
      </c>
      <c r="E5" s="37" t="s">
        <v>429</v>
      </c>
    </row>
    <row r="6" spans="1:5" ht="114.75" customHeight="1" x14ac:dyDescent="0.3">
      <c r="A6" s="37" t="s">
        <v>430</v>
      </c>
      <c r="B6" s="37" t="s">
        <v>431</v>
      </c>
      <c r="C6" s="37" t="s">
        <v>432</v>
      </c>
      <c r="D6" s="37" t="s">
        <v>433</v>
      </c>
      <c r="E6" s="37" t="s">
        <v>434</v>
      </c>
    </row>
    <row r="7" spans="1:5" ht="99.75" customHeight="1" x14ac:dyDescent="0.3">
      <c r="A7" s="32" t="s">
        <v>182</v>
      </c>
      <c r="B7" s="32" t="s">
        <v>435</v>
      </c>
      <c r="C7" s="32" t="s">
        <v>436</v>
      </c>
      <c r="D7" s="32" t="s">
        <v>437</v>
      </c>
      <c r="E7" s="32" t="s">
        <v>438</v>
      </c>
    </row>
    <row r="8" spans="1:5" ht="99.75" customHeight="1" x14ac:dyDescent="0.3">
      <c r="A8" s="32" t="s">
        <v>204</v>
      </c>
      <c r="B8" s="32" t="s">
        <v>439</v>
      </c>
      <c r="C8" s="32" t="s">
        <v>440</v>
      </c>
      <c r="D8" s="32" t="s">
        <v>441</v>
      </c>
      <c r="E8" s="32" t="s">
        <v>442</v>
      </c>
    </row>
    <row r="9" spans="1:5" ht="99.75" customHeight="1" x14ac:dyDescent="0.3">
      <c r="A9" s="32" t="s">
        <v>443</v>
      </c>
      <c r="B9" s="32" t="s">
        <v>444</v>
      </c>
      <c r="C9" s="32" t="s">
        <v>445</v>
      </c>
      <c r="D9" s="32" t="s">
        <v>446</v>
      </c>
      <c r="E9" s="32" t="s">
        <v>447</v>
      </c>
    </row>
    <row r="10" spans="1:5" ht="99.75" customHeight="1" x14ac:dyDescent="0.3">
      <c r="A10" s="32" t="s">
        <v>448</v>
      </c>
      <c r="B10" s="32" t="s">
        <v>449</v>
      </c>
      <c r="C10" s="32" t="s">
        <v>450</v>
      </c>
      <c r="D10" s="32" t="s">
        <v>451</v>
      </c>
      <c r="E10" s="32" t="s">
        <v>452</v>
      </c>
    </row>
    <row r="11" spans="1:5" ht="99.75" customHeight="1" x14ac:dyDescent="0.3">
      <c r="A11" s="32" t="s">
        <v>453</v>
      </c>
      <c r="B11" s="32" t="s">
        <v>454</v>
      </c>
      <c r="C11" s="32" t="s">
        <v>455</v>
      </c>
      <c r="D11" s="32" t="s">
        <v>456</v>
      </c>
      <c r="E11" s="32" t="s">
        <v>457</v>
      </c>
    </row>
    <row r="12" spans="1:5" ht="99.75" customHeight="1" x14ac:dyDescent="0.3">
      <c r="A12" s="32" t="s">
        <v>302</v>
      </c>
      <c r="B12" s="32" t="s">
        <v>458</v>
      </c>
      <c r="C12" s="32" t="s">
        <v>459</v>
      </c>
      <c r="D12" s="32" t="s">
        <v>460</v>
      </c>
      <c r="E12" s="32" t="s">
        <v>461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36" customWidth="1"/>
    <col min="3" max="3" width="32" customWidth="1"/>
    <col min="4" max="4" width="42" customWidth="1"/>
    <col min="5" max="7" width="36" customWidth="1"/>
  </cols>
  <sheetData>
    <row r="1" spans="1:7" x14ac:dyDescent="0.3">
      <c r="A1" s="38" t="s">
        <v>462</v>
      </c>
      <c r="B1" s="38" t="s">
        <v>463</v>
      </c>
      <c r="C1" s="38" t="s">
        <v>464</v>
      </c>
      <c r="D1" s="38" t="s">
        <v>465</v>
      </c>
      <c r="E1" s="38" t="s">
        <v>466</v>
      </c>
      <c r="F1" s="38" t="s">
        <v>467</v>
      </c>
      <c r="G1" s="38" t="s">
        <v>468</v>
      </c>
    </row>
    <row r="2" spans="1:7" ht="60" customHeight="1" x14ac:dyDescent="0.3">
      <c r="A2" s="37"/>
      <c r="B2" s="37"/>
      <c r="C2" s="37"/>
      <c r="D2" s="37"/>
      <c r="E2" s="37"/>
      <c r="F2" s="37"/>
      <c r="G2" s="37"/>
    </row>
    <row r="3" spans="1:7" ht="60" customHeight="1" x14ac:dyDescent="0.3">
      <c r="A3" s="37"/>
      <c r="B3" s="37"/>
      <c r="C3" s="37"/>
      <c r="D3" s="37"/>
      <c r="E3" s="37"/>
      <c r="F3" s="37"/>
      <c r="G3" s="37"/>
    </row>
    <row r="4" spans="1:7" ht="60" customHeight="1" x14ac:dyDescent="0.3">
      <c r="A4" s="37"/>
      <c r="B4" s="37"/>
      <c r="C4" s="37"/>
      <c r="D4" s="37"/>
      <c r="E4" s="37"/>
      <c r="F4" s="37"/>
      <c r="G4" s="37"/>
    </row>
    <row r="5" spans="1:7" ht="60" customHeight="1" x14ac:dyDescent="0.3">
      <c r="A5" s="37"/>
      <c r="B5" s="37"/>
      <c r="C5" s="37"/>
      <c r="D5" s="37"/>
      <c r="E5" s="37"/>
      <c r="F5" s="37"/>
      <c r="G5" s="37"/>
    </row>
    <row r="6" spans="1:7" ht="60" customHeight="1" x14ac:dyDescent="0.3">
      <c r="A6" s="37"/>
      <c r="B6" s="37"/>
      <c r="C6" s="37"/>
      <c r="D6" s="37"/>
      <c r="E6" s="37"/>
      <c r="F6" s="37"/>
      <c r="G6" s="37"/>
    </row>
    <row r="7" spans="1:7" ht="60" customHeight="1" x14ac:dyDescent="0.3">
      <c r="A7" s="37"/>
      <c r="B7" s="37"/>
      <c r="C7" s="37"/>
      <c r="D7" s="37"/>
      <c r="E7" s="37"/>
      <c r="F7" s="37"/>
      <c r="G7" s="37"/>
    </row>
    <row r="8" spans="1:7" ht="60" customHeight="1" x14ac:dyDescent="0.3">
      <c r="A8" s="37"/>
      <c r="B8" s="37"/>
      <c r="C8" s="37"/>
      <c r="D8" s="37"/>
      <c r="E8" s="37"/>
      <c r="F8" s="37"/>
      <c r="G8" s="37"/>
    </row>
    <row r="9" spans="1:7" ht="60" customHeight="1" x14ac:dyDescent="0.3">
      <c r="A9" s="37"/>
      <c r="B9" s="37"/>
      <c r="C9" s="37"/>
      <c r="D9" s="37"/>
      <c r="E9" s="37"/>
      <c r="F9" s="37"/>
      <c r="G9" s="37"/>
    </row>
    <row r="10" spans="1:7" ht="60" customHeight="1" x14ac:dyDescent="0.3">
      <c r="A10" s="37"/>
      <c r="B10" s="37"/>
      <c r="C10" s="37"/>
      <c r="D10" s="37"/>
      <c r="E10" s="37"/>
      <c r="F10" s="37"/>
      <c r="G10" s="37"/>
    </row>
    <row r="11" spans="1:7" ht="60" customHeight="1" x14ac:dyDescent="0.3">
      <c r="A11" s="37"/>
      <c r="B11" s="37"/>
      <c r="C11" s="37"/>
      <c r="D11" s="37"/>
      <c r="E11" s="37"/>
      <c r="F11" s="37"/>
      <c r="G11" s="37"/>
    </row>
    <row r="12" spans="1:7" ht="60" customHeight="1" x14ac:dyDescent="0.3">
      <c r="A12" s="37"/>
      <c r="B12" s="37"/>
      <c r="C12" s="37"/>
      <c r="D12" s="37"/>
      <c r="E12" s="37"/>
      <c r="F12" s="37"/>
      <c r="G12" s="37"/>
    </row>
    <row r="13" spans="1:7" ht="60" customHeight="1" x14ac:dyDescent="0.3">
      <c r="A13" s="37"/>
      <c r="B13" s="37"/>
      <c r="C13" s="37"/>
      <c r="D13" s="37"/>
      <c r="E13" s="37"/>
      <c r="F13" s="37"/>
      <c r="G13" s="37"/>
    </row>
    <row r="14" spans="1:7" ht="60" customHeight="1" x14ac:dyDescent="0.3">
      <c r="A14" s="37"/>
      <c r="B14" s="37"/>
      <c r="C14" s="37"/>
      <c r="D14" s="37"/>
      <c r="E14" s="37"/>
      <c r="F14" s="37"/>
      <c r="G14" s="37"/>
    </row>
    <row r="15" spans="1:7" ht="60" customHeight="1" x14ac:dyDescent="0.3">
      <c r="A15" s="37"/>
      <c r="B15" s="37"/>
      <c r="C15" s="37"/>
      <c r="D15" s="37"/>
      <c r="E15" s="37"/>
      <c r="F15" s="37"/>
      <c r="G15" s="37"/>
    </row>
  </sheetData>
  <autoFilter ref="A1:G1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120" customWidth="1"/>
  </cols>
  <sheetData>
    <row r="1" spans="1:2" ht="51.75" customHeight="1" x14ac:dyDescent="0.3">
      <c r="A1" s="39" t="s">
        <v>469</v>
      </c>
      <c r="B1" s="40" t="s">
        <v>470</v>
      </c>
    </row>
    <row r="2" spans="1:2" ht="51.75" customHeight="1" x14ac:dyDescent="0.3">
      <c r="A2" s="39" t="s">
        <v>82</v>
      </c>
      <c r="B2" s="40" t="s">
        <v>471</v>
      </c>
    </row>
    <row r="3" spans="1:2" ht="51.75" customHeight="1" x14ac:dyDescent="0.3">
      <c r="A3" s="39" t="s">
        <v>111</v>
      </c>
      <c r="B3" s="40" t="s">
        <v>472</v>
      </c>
    </row>
    <row r="4" spans="1:2" ht="51.75" customHeight="1" x14ac:dyDescent="0.3">
      <c r="A4" s="39" t="s">
        <v>136</v>
      </c>
      <c r="B4" s="40" t="s">
        <v>473</v>
      </c>
    </row>
    <row r="5" spans="1:2" ht="51.75" customHeight="1" x14ac:dyDescent="0.3">
      <c r="A5" s="39" t="s">
        <v>474</v>
      </c>
      <c r="B5" s="40" t="s">
        <v>475</v>
      </c>
    </row>
    <row r="6" spans="1:2" ht="51.75" customHeight="1" x14ac:dyDescent="0.3">
      <c r="A6" s="39" t="s">
        <v>476</v>
      </c>
      <c r="B6" s="40" t="s">
        <v>477</v>
      </c>
    </row>
    <row r="7" spans="1:2" ht="51.75" customHeight="1" x14ac:dyDescent="0.3">
      <c r="A7" s="39" t="s">
        <v>478</v>
      </c>
      <c r="B7" s="40" t="s">
        <v>479</v>
      </c>
    </row>
    <row r="8" spans="1:2" ht="51.75" customHeight="1" x14ac:dyDescent="0.3">
      <c r="A8" s="39" t="s">
        <v>480</v>
      </c>
      <c r="B8" s="40" t="s">
        <v>481</v>
      </c>
    </row>
    <row r="9" spans="1:2" ht="51.75" customHeight="1" x14ac:dyDescent="0.3">
      <c r="A9" s="39" t="s">
        <v>482</v>
      </c>
      <c r="B9" s="40" t="s">
        <v>483</v>
      </c>
    </row>
    <row r="10" spans="1:2" ht="51.75" customHeight="1" x14ac:dyDescent="0.3">
      <c r="A10" s="39" t="s">
        <v>419</v>
      </c>
      <c r="B10" s="40" t="s">
        <v>484</v>
      </c>
    </row>
    <row r="11" spans="1:2" ht="28.8" customHeight="1" x14ac:dyDescent="0.3">
      <c r="A11" s="41" t="s">
        <v>485</v>
      </c>
      <c r="B11" s="32" t="s">
        <v>486</v>
      </c>
    </row>
    <row r="12" spans="1:2" ht="43.2" customHeight="1" x14ac:dyDescent="0.3">
      <c r="A12" s="41" t="s">
        <v>487</v>
      </c>
      <c r="B12" s="32" t="s">
        <v>488</v>
      </c>
    </row>
    <row r="13" spans="1:2" ht="28.8" customHeight="1" x14ac:dyDescent="0.3">
      <c r="A13" s="41" t="s">
        <v>489</v>
      </c>
      <c r="B13" s="32" t="s">
        <v>490</v>
      </c>
    </row>
    <row r="14" spans="1:2" x14ac:dyDescent="0.3">
      <c r="A14" s="41" t="s">
        <v>491</v>
      </c>
      <c r="B14" s="32" t="s">
        <v>492</v>
      </c>
    </row>
    <row r="15" spans="1:2" x14ac:dyDescent="0.3">
      <c r="A15" s="41" t="s">
        <v>493</v>
      </c>
      <c r="B15" s="32" t="s">
        <v>494</v>
      </c>
    </row>
    <row r="16" spans="1:2" ht="43.2" customHeight="1" x14ac:dyDescent="0.3">
      <c r="A16" s="41" t="s">
        <v>495</v>
      </c>
      <c r="B16" s="32" t="s">
        <v>496</v>
      </c>
    </row>
    <row r="18" spans="1:2" ht="48" customHeight="1" x14ac:dyDescent="0.3">
      <c r="A18" s="42" t="s">
        <v>497</v>
      </c>
      <c r="B18" s="40" t="s">
        <v>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Workplan Chart</vt:lpstr>
      <vt:lpstr>Task Tracker</vt:lpstr>
      <vt:lpstr>Key Deadlines</vt:lpstr>
      <vt:lpstr>Monthly Overview</vt:lpstr>
      <vt:lpstr>Weekly Check-in</vt:lpstr>
      <vt:lpstr>Read Me</vt:lpstr>
      <vt:lpstr>'Workplan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Abhijna R Chandra</cp:lastModifiedBy>
  <cp:revision>0</cp:revision>
  <dcterms:created xsi:type="dcterms:W3CDTF">2026-10-13T13:40:32Z</dcterms:created>
  <dcterms:modified xsi:type="dcterms:W3CDTF">2026-10-22T10:21:36Z</dcterms:modified>
  <dc:language>en-US</dc:language>
</cp:coreProperties>
</file>